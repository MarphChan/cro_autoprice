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陈润临时文件夹\招标项目\029 QLS7402联合毒理&amp;更长周期毒理\科室审核-V2\"/>
    </mc:Choice>
  </mc:AlternateContent>
  <bookViews>
    <workbookView xWindow="5100" yWindow="190" windowWidth="23620" windowHeight="14650" tabRatio="746" activeTab="4"/>
  </bookViews>
  <sheets>
    <sheet name="试验总价" sheetId="3" r:id="rId1"/>
    <sheet name="分析方法学" sheetId="5" r:id="rId2"/>
    <sheet name="GLP毒理报价单" sheetId="2" r:id="rId3"/>
    <sheet name="中文试验报告" sheetId="7" r:id="rId4"/>
    <sheet name="英文试验报告+SEND数据包" sheetId="9" r:id="rId5"/>
  </sheets>
  <definedNames>
    <definedName name="_xlnm._FilterDatabase" localSheetId="2" hidden="1">GLP毒理报价单!$A$2:$I$164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2" i="2" l="1"/>
  <c r="F44" i="2"/>
  <c r="F43" i="2" l="1"/>
  <c r="C12" i="3"/>
  <c r="H31" i="2" l="1"/>
  <c r="H37" i="2" l="1"/>
  <c r="H36" i="2"/>
  <c r="F83" i="2"/>
  <c r="H83" i="2" s="1"/>
  <c r="F82" i="2"/>
  <c r="H82" i="2" s="1"/>
  <c r="F16" i="9" l="1"/>
  <c r="F15" i="9"/>
  <c r="F14" i="9"/>
  <c r="F13" i="9"/>
  <c r="F12" i="9"/>
  <c r="F11" i="9"/>
  <c r="F10" i="9"/>
  <c r="F8" i="9"/>
  <c r="F7" i="9"/>
  <c r="F6" i="9"/>
  <c r="F5" i="9"/>
  <c r="F4" i="9"/>
  <c r="F3" i="9"/>
  <c r="F16" i="7"/>
  <c r="F15" i="7"/>
  <c r="F14" i="7"/>
  <c r="F13" i="7"/>
  <c r="F12" i="7"/>
  <c r="F11" i="7"/>
  <c r="F10" i="7"/>
  <c r="F8" i="7"/>
  <c r="F7" i="7"/>
  <c r="F6" i="7"/>
  <c r="F5" i="7"/>
  <c r="F4" i="7"/>
  <c r="F3" i="7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0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6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7" i="2"/>
  <c r="H93" i="2"/>
  <c r="F90" i="2"/>
  <c r="H90" i="2" s="1"/>
  <c r="H89" i="2"/>
  <c r="H87" i="2"/>
  <c r="H86" i="2"/>
  <c r="H85" i="2"/>
  <c r="F85" i="2"/>
  <c r="F84" i="2"/>
  <c r="H84" i="2" s="1"/>
  <c r="H81" i="2"/>
  <c r="F81" i="2"/>
  <c r="H80" i="2"/>
  <c r="F80" i="2"/>
  <c r="H76" i="2"/>
  <c r="H75" i="2"/>
  <c r="F74" i="2"/>
  <c r="H74" i="2" s="1"/>
  <c r="H73" i="2"/>
  <c r="H72" i="2"/>
  <c r="H71" i="2"/>
  <c r="H70" i="2"/>
  <c r="H69" i="2"/>
  <c r="F67" i="2"/>
  <c r="H67" i="2" s="1"/>
  <c r="F66" i="2"/>
  <c r="H66" i="2" s="1"/>
  <c r="F65" i="2"/>
  <c r="H65" i="2" s="1"/>
  <c r="F64" i="2"/>
  <c r="H64" i="2" s="1"/>
  <c r="F63" i="2"/>
  <c r="H63" i="2" s="1"/>
  <c r="F62" i="2"/>
  <c r="H62" i="2" s="1"/>
  <c r="H61" i="2"/>
  <c r="H60" i="2"/>
  <c r="F59" i="2"/>
  <c r="H59" i="2" s="1"/>
  <c r="F58" i="2"/>
  <c r="H58" i="2" s="1"/>
  <c r="F57" i="2"/>
  <c r="H57" i="2" s="1"/>
  <c r="F56" i="2"/>
  <c r="H56" i="2" s="1"/>
  <c r="H55" i="2"/>
  <c r="H54" i="2"/>
  <c r="H51" i="2"/>
  <c r="F50" i="2"/>
  <c r="H47" i="2"/>
  <c r="H44" i="2"/>
  <c r="H43" i="2"/>
  <c r="H41" i="2"/>
  <c r="H40" i="2"/>
  <c r="H39" i="2"/>
  <c r="H38" i="2"/>
  <c r="H35" i="2"/>
  <c r="H34" i="2"/>
  <c r="H30" i="2"/>
  <c r="H29" i="2"/>
  <c r="F28" i="2"/>
  <c r="H28" i="2" s="1"/>
  <c r="H27" i="2"/>
  <c r="F26" i="2"/>
  <c r="H26" i="2" s="1"/>
  <c r="H25" i="2"/>
  <c r="H24" i="2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H17" i="2"/>
  <c r="H16" i="2"/>
  <c r="F16" i="2"/>
  <c r="F15" i="2"/>
  <c r="H15" i="2" s="1"/>
  <c r="F14" i="2"/>
  <c r="H14" i="2" s="1"/>
  <c r="F13" i="2"/>
  <c r="H13" i="2" s="1"/>
  <c r="H12" i="2"/>
  <c r="F12" i="2"/>
  <c r="H11" i="2"/>
  <c r="H10" i="2"/>
  <c r="F7" i="2"/>
  <c r="H7" i="2" s="1"/>
  <c r="F6" i="2"/>
  <c r="H3" i="2"/>
  <c r="F7" i="5"/>
  <c r="F6" i="5"/>
  <c r="F5" i="5"/>
  <c r="F4" i="5"/>
  <c r="F3" i="5"/>
  <c r="C13" i="3"/>
  <c r="C14" i="3" s="1"/>
  <c r="H161" i="2" l="1"/>
  <c r="H162" i="2" s="1"/>
  <c r="H163" i="2" s="1"/>
  <c r="F10" i="5"/>
  <c r="F11" i="5" s="1"/>
  <c r="F12" i="5" s="1"/>
  <c r="F17" i="7"/>
  <c r="F18" i="7" s="1"/>
  <c r="F19" i="7" s="1"/>
  <c r="F18" i="9"/>
  <c r="F19" i="9" s="1"/>
  <c r="F20" i="9" s="1"/>
</calcChain>
</file>

<file path=xl/sharedStrings.xml><?xml version="1.0" encoding="utf-8"?>
<sst xmlns="http://schemas.openxmlformats.org/spreadsheetml/2006/main" count="820" uniqueCount="396">
  <si>
    <r>
      <rPr>
        <b/>
        <sz val="12"/>
        <color theme="1"/>
        <rFont val="宋体"/>
        <family val="3"/>
        <charset val="134"/>
      </rPr>
      <t>项目名称</t>
    </r>
  </si>
  <si>
    <r>
      <rPr>
        <b/>
        <sz val="12"/>
        <color theme="1"/>
        <rFont val="宋体"/>
        <family val="3"/>
        <charset val="134"/>
      </rPr>
      <t>分子类型</t>
    </r>
  </si>
  <si>
    <r>
      <rPr>
        <b/>
        <sz val="12"/>
        <color theme="1"/>
        <rFont val="宋体"/>
        <family val="3"/>
        <charset val="134"/>
      </rPr>
      <t>临床拟用途径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频率</t>
    </r>
  </si>
  <si>
    <r>
      <rPr>
        <sz val="12"/>
        <rFont val="宋体"/>
        <family val="3"/>
        <charset val="134"/>
      </rPr>
      <t>皮下注射给药</t>
    </r>
    <r>
      <rPr>
        <sz val="12"/>
        <rFont val="Times New Roman"/>
        <family val="1"/>
      </rPr>
      <t>/Q3M</t>
    </r>
    <r>
      <rPr>
        <sz val="12"/>
        <rFont val="宋体"/>
        <family val="3"/>
        <charset val="134"/>
      </rPr>
      <t>或</t>
    </r>
    <r>
      <rPr>
        <sz val="12"/>
        <rFont val="Times New Roman"/>
        <family val="1"/>
      </rPr>
      <t>Q6M</t>
    </r>
  </si>
  <si>
    <r>
      <rPr>
        <b/>
        <sz val="12"/>
        <color theme="1"/>
        <rFont val="宋体"/>
        <family val="3"/>
        <charset val="134"/>
      </rPr>
      <t>申报要求</t>
    </r>
  </si>
  <si>
    <r>
      <rPr>
        <b/>
        <sz val="12"/>
        <color theme="1"/>
        <rFont val="宋体"/>
        <family val="3"/>
        <charset val="134"/>
      </rPr>
      <t>报告类别及提供时间</t>
    </r>
  </si>
  <si>
    <r>
      <rPr>
        <b/>
        <sz val="12"/>
        <color theme="1"/>
        <rFont val="宋体"/>
        <family val="3"/>
        <charset val="134"/>
      </rPr>
      <t>项目</t>
    </r>
  </si>
  <si>
    <r>
      <rPr>
        <sz val="12"/>
        <color theme="1"/>
        <rFont val="宋体"/>
        <family val="3"/>
        <charset val="134"/>
      </rPr>
      <t>研究内容简介</t>
    </r>
  </si>
  <si>
    <r>
      <rPr>
        <sz val="12"/>
        <color theme="1"/>
        <rFont val="宋体"/>
        <family val="3"/>
        <charset val="134"/>
      </rPr>
      <t>金额（不含税，元）</t>
    </r>
  </si>
  <si>
    <r>
      <rPr>
        <b/>
        <sz val="10.5"/>
        <color rgb="FF000000"/>
        <rFont val="宋体"/>
        <family val="3"/>
        <charset val="134"/>
      </rPr>
      <t>分析方法</t>
    </r>
  </si>
  <si>
    <r>
      <rPr>
        <b/>
        <sz val="10.5"/>
        <color rgb="FF000000"/>
        <rFont val="Times New Roman"/>
        <family val="1"/>
      </rPr>
      <t>GLP</t>
    </r>
    <r>
      <rPr>
        <b/>
        <sz val="10.5"/>
        <color rgb="FF000000"/>
        <rFont val="宋体"/>
        <family val="3"/>
        <charset val="134"/>
      </rPr>
      <t>毒理试验</t>
    </r>
  </si>
  <si>
    <r>
      <rPr>
        <b/>
        <sz val="10.5"/>
        <rFont val="宋体"/>
        <family val="3"/>
        <charset val="134"/>
      </rPr>
      <t>中文试验报告</t>
    </r>
  </si>
  <si>
    <r>
      <rPr>
        <b/>
        <sz val="10.5"/>
        <rFont val="宋体"/>
        <family val="3"/>
        <charset val="134"/>
      </rPr>
      <t>英文试验报告</t>
    </r>
  </si>
  <si>
    <r>
      <rPr>
        <sz val="12"/>
        <rFont val="宋体"/>
        <family val="3"/>
        <charset val="134"/>
      </rPr>
      <t>所有试验的英文报告</t>
    </r>
  </si>
  <si>
    <r>
      <rPr>
        <b/>
        <sz val="12"/>
        <color theme="1"/>
        <rFont val="宋体"/>
        <family val="3"/>
        <charset val="134"/>
      </rPr>
      <t>不含税金额合计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</si>
  <si>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>含税（</t>
    </r>
    <r>
      <rPr>
        <b/>
        <sz val="12"/>
        <color theme="1"/>
        <rFont val="Times New Roman"/>
        <family val="1"/>
      </rPr>
      <t>6%</t>
    </r>
    <r>
      <rPr>
        <b/>
        <sz val="12"/>
        <color theme="1"/>
        <rFont val="宋体"/>
        <family val="3"/>
        <charset val="134"/>
      </rPr>
      <t>）金额合计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</si>
  <si>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>税额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</si>
  <si>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 xml:space="preserve">备注：
</t>
    </r>
    <r>
      <rPr>
        <b/>
        <sz val="12"/>
        <color theme="1"/>
        <rFont val="Times New Roman"/>
        <family val="1"/>
      </rPr>
      <t>1</t>
    </r>
    <r>
      <rPr>
        <b/>
        <sz val="12"/>
        <color theme="1"/>
        <rFont val="宋体"/>
        <family val="3"/>
        <charset val="134"/>
      </rPr>
      <t>、试验内容按照此版本报价大纲初步拟定，但应以试验方案为最终依据；若试验开展过程中发生与本报价大纲不同的地方，由此带来的费用变更，双方将以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宋体"/>
        <family val="3"/>
        <charset val="134"/>
      </rPr>
      <t>补充合同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宋体"/>
        <family val="3"/>
        <charset val="134"/>
      </rPr>
      <t xml:space="preserve">进行据实结算；
</t>
    </r>
    <r>
      <rPr>
        <b/>
        <sz val="12"/>
        <color theme="1"/>
        <rFont val="Times New Roman"/>
        <family val="1"/>
      </rPr>
      <t>2</t>
    </r>
    <r>
      <rPr>
        <b/>
        <sz val="12"/>
        <color theme="1"/>
        <rFont val="宋体"/>
        <family val="3"/>
        <charset val="134"/>
      </rPr>
      <t>、试验需要使用的非常规试剂、试剂盒及特殊关键试剂（包括但不限于特异性抗体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抗原蛋白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特殊检测试剂盒</t>
    </r>
    <r>
      <rPr>
        <b/>
        <sz val="12"/>
        <color theme="1"/>
        <rFont val="Times New Roman"/>
        <family val="1"/>
      </rPr>
      <t>/ADA</t>
    </r>
    <r>
      <rPr>
        <b/>
        <sz val="12"/>
        <color theme="1"/>
        <rFont val="宋体"/>
        <family val="3"/>
        <charset val="134"/>
      </rPr>
      <t>阳性对照抗体），若为合作单位代购，需请对方出具相关购买凭证据实结算</t>
    </r>
    <r>
      <rPr>
        <b/>
        <sz val="12"/>
        <color theme="1"/>
        <rFont val="Times New Roman"/>
        <family val="1"/>
      </rPr>
      <t>.</t>
    </r>
  </si>
  <si>
    <t>/</t>
  </si>
  <si>
    <t>SC</t>
  </si>
  <si>
    <t>Q4W*8</t>
  </si>
  <si>
    <t>Q4W*11</t>
  </si>
  <si>
    <t>GD6~GD17</t>
  </si>
  <si>
    <t>3~5kg</t>
  </si>
  <si>
    <t>GD6~GD19</t>
  </si>
  <si>
    <r>
      <rPr>
        <b/>
        <sz val="10.5"/>
        <color theme="1"/>
        <rFont val="宋体"/>
        <family val="3"/>
        <charset val="134"/>
      </rPr>
      <t>中文试验报告</t>
    </r>
  </si>
  <si>
    <r>
      <rPr>
        <b/>
        <sz val="10.5"/>
        <color theme="1"/>
        <rFont val="宋体"/>
        <family val="3"/>
        <charset val="134"/>
      </rPr>
      <t>项目</t>
    </r>
  </si>
  <si>
    <r>
      <rPr>
        <b/>
        <sz val="10.5"/>
        <color theme="1"/>
        <rFont val="宋体"/>
        <family val="3"/>
        <charset val="134"/>
      </rPr>
      <t>单位</t>
    </r>
  </si>
  <si>
    <r>
      <rPr>
        <b/>
        <sz val="10.5"/>
        <color theme="1"/>
        <rFont val="宋体"/>
        <family val="3"/>
        <charset val="134"/>
      </rPr>
      <t>数量</t>
    </r>
  </si>
  <si>
    <r>
      <rPr>
        <b/>
        <sz val="10.5"/>
        <color theme="1"/>
        <rFont val="宋体"/>
        <family val="3"/>
        <charset val="134"/>
      </rPr>
      <t>不含税单价</t>
    </r>
    <r>
      <rPr>
        <b/>
        <sz val="10.5"/>
        <color theme="1"/>
        <rFont val="Times New Roman"/>
        <family val="1"/>
      </rPr>
      <t xml:space="preserve">
</t>
    </r>
    <r>
      <rPr>
        <b/>
        <sz val="10.5"/>
        <color theme="1"/>
        <rFont val="宋体"/>
        <family val="3"/>
        <charset val="134"/>
      </rPr>
      <t>元</t>
    </r>
  </si>
  <si>
    <r>
      <rPr>
        <b/>
        <sz val="10"/>
        <color theme="1"/>
        <rFont val="宋体"/>
        <family val="3"/>
        <charset val="134"/>
      </rPr>
      <t>不含税金额</t>
    </r>
    <r>
      <rPr>
        <b/>
        <sz val="10"/>
        <color theme="1"/>
        <rFont val="Times New Roman"/>
        <family val="1"/>
      </rPr>
      <t xml:space="preserve">
</t>
    </r>
    <r>
      <rPr>
        <b/>
        <sz val="10"/>
        <color theme="1"/>
        <rFont val="宋体"/>
        <family val="3"/>
        <charset val="134"/>
      </rPr>
      <t>元</t>
    </r>
  </si>
  <si>
    <r>
      <rPr>
        <b/>
        <sz val="10.5"/>
        <color rgb="FF0000FF"/>
        <rFont val="宋体"/>
        <family val="3"/>
        <charset val="134"/>
      </rPr>
      <t>备注</t>
    </r>
  </si>
  <si>
    <r>
      <rPr>
        <sz val="10.5"/>
        <color rgb="FF000000"/>
        <rFont val="宋体"/>
        <family val="3"/>
        <charset val="134"/>
      </rPr>
      <t>方法学相关</t>
    </r>
  </si>
  <si>
    <r>
      <rPr>
        <sz val="10"/>
        <color rgb="FF000000"/>
        <rFont val="宋体"/>
        <family val="3"/>
        <charset val="134"/>
      </rPr>
      <t>制剂分析方法学验证报告</t>
    </r>
  </si>
  <si>
    <r>
      <rPr>
        <sz val="10.5"/>
        <color rgb="FF000000"/>
        <rFont val="宋体"/>
        <family val="3"/>
        <charset val="134"/>
      </rPr>
      <t>份</t>
    </r>
  </si>
  <si>
    <t>2</t>
  </si>
  <si>
    <r>
      <rPr>
        <b/>
        <sz val="10"/>
        <color rgb="FF0000FF"/>
        <rFont val="宋体"/>
        <family val="3"/>
        <charset val="134"/>
      </rPr>
      <t>具体数量可根据机构</t>
    </r>
    <r>
      <rPr>
        <b/>
        <sz val="10"/>
        <color rgb="FF0000FF"/>
        <rFont val="Times New Roman"/>
        <family val="1"/>
      </rPr>
      <t>SOP</t>
    </r>
    <r>
      <rPr>
        <b/>
        <sz val="10"/>
        <color rgb="FF0000FF"/>
        <rFont val="宋体"/>
        <family val="3"/>
        <charset val="134"/>
      </rPr>
      <t>调整</t>
    </r>
  </si>
  <si>
    <r>
      <rPr>
        <sz val="10"/>
        <color rgb="FF000000"/>
        <rFont val="宋体"/>
        <family val="3"/>
        <charset val="134"/>
      </rPr>
      <t>生物分析方法学验证报告</t>
    </r>
  </si>
  <si>
    <t>8</t>
  </si>
  <si>
    <r>
      <rPr>
        <sz val="10"/>
        <color rgb="FF000000"/>
        <rFont val="Times New Roman"/>
        <family val="1"/>
      </rPr>
      <t>ADA</t>
    </r>
    <r>
      <rPr>
        <sz val="10"/>
        <color rgb="FF000000"/>
        <rFont val="宋体"/>
        <family val="3"/>
        <charset val="134"/>
      </rPr>
      <t>分析方法学验证报告</t>
    </r>
  </si>
  <si>
    <r>
      <rPr>
        <sz val="10.5"/>
        <color rgb="FF000000"/>
        <rFont val="Times New Roman"/>
        <family val="1"/>
      </rPr>
      <t>GLP</t>
    </r>
    <r>
      <rPr>
        <sz val="10.5"/>
        <color rgb="FF000000"/>
        <rFont val="宋体"/>
        <family val="3"/>
        <charset val="134"/>
      </rPr>
      <t>毒理试验</t>
    </r>
  </si>
  <si>
    <t>1</t>
  </si>
  <si>
    <r>
      <rPr>
        <sz val="10"/>
        <color rgb="FF000000"/>
        <rFont val="宋体"/>
        <family val="3"/>
        <charset val="134"/>
      </rPr>
      <t>伴随局部刺激性报告（大鼠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</rPr>
      <t>食蟹猴）</t>
    </r>
  </si>
  <si>
    <r>
      <rPr>
        <sz val="10"/>
        <color rgb="FF000000"/>
        <rFont val="宋体"/>
        <family val="3"/>
        <charset val="134"/>
      </rPr>
      <t>伴随安全药理报告（食蟹猴）</t>
    </r>
  </si>
  <si>
    <t>伴随免疫原性报告（大鼠、食蟹猴）</t>
  </si>
  <si>
    <r>
      <rPr>
        <sz val="10"/>
        <color rgb="FF000000"/>
        <rFont val="宋体"/>
        <family val="3"/>
        <charset val="134"/>
      </rPr>
      <t>伴随免疫毒性报告（大鼠、食蟹猴）</t>
    </r>
  </si>
  <si>
    <r>
      <rPr>
        <sz val="10"/>
        <rFont val="宋体"/>
        <family val="3"/>
        <charset val="134"/>
      </rPr>
      <t>毒代动力学报告</t>
    </r>
  </si>
  <si>
    <t>4</t>
  </si>
  <si>
    <r>
      <rPr>
        <b/>
        <sz val="10.5"/>
        <color rgb="FF0000FF"/>
        <rFont val="宋体"/>
        <family val="3"/>
        <charset val="134"/>
      </rPr>
      <t>具体数量可根据机构内部</t>
    </r>
    <r>
      <rPr>
        <b/>
        <sz val="10.5"/>
        <color rgb="FF0000FF"/>
        <rFont val="Times New Roman"/>
        <family val="1"/>
      </rPr>
      <t>SOP</t>
    </r>
    <r>
      <rPr>
        <b/>
        <sz val="10.5"/>
        <color rgb="FF0000FF"/>
        <rFont val="宋体"/>
        <family val="3"/>
        <charset val="134"/>
      </rPr>
      <t>调整</t>
    </r>
  </si>
  <si>
    <r>
      <rPr>
        <sz val="10"/>
        <color rgb="FF000000"/>
        <rFont val="宋体"/>
        <family val="3"/>
        <charset val="134"/>
      </rPr>
      <t>病理报告</t>
    </r>
  </si>
  <si>
    <t>5</t>
  </si>
  <si>
    <r>
      <rPr>
        <sz val="10"/>
        <color rgb="FF000000"/>
        <rFont val="宋体"/>
        <family val="3"/>
        <charset val="134"/>
      </rPr>
      <t>大鼠Ⅰ段生殖毒正式试验总结报告</t>
    </r>
  </si>
  <si>
    <r>
      <rPr>
        <sz val="10"/>
        <color rgb="FF000000"/>
        <rFont val="宋体"/>
        <family val="3"/>
        <charset val="134"/>
      </rPr>
      <t>大鼠Ⅱ段生殖毒正式试验总结报告</t>
    </r>
  </si>
  <si>
    <r>
      <rPr>
        <sz val="10"/>
        <rFont val="宋体"/>
        <family val="3"/>
        <charset val="134"/>
      </rPr>
      <t>家兔Ⅱ段生殖毒正式试验总结报告</t>
    </r>
  </si>
  <si>
    <r>
      <rPr>
        <b/>
        <sz val="12"/>
        <color theme="1"/>
        <rFont val="宋体"/>
        <family val="3"/>
        <charset val="134"/>
      </rPr>
      <t>备注（可根据实际情况补充）：</t>
    </r>
    <r>
      <rPr>
        <b/>
        <sz val="12"/>
        <color theme="1"/>
        <rFont val="Times New Roman"/>
        <family val="1"/>
      </rPr>
      <t xml:space="preserve">
1</t>
    </r>
    <r>
      <rPr>
        <b/>
        <sz val="12"/>
        <color theme="1"/>
        <rFont val="宋体"/>
        <family val="3"/>
        <charset val="134"/>
      </rPr>
      <t>、本项目试验不单独出具</t>
    </r>
    <r>
      <rPr>
        <b/>
        <sz val="12"/>
        <color theme="1"/>
        <rFont val="Times New Roman"/>
        <family val="1"/>
      </rPr>
      <t>XXXX</t>
    </r>
    <r>
      <rPr>
        <b/>
        <sz val="12"/>
        <color theme="1"/>
        <rFont val="宋体"/>
        <family val="3"/>
        <charset val="134"/>
      </rPr>
      <t>试验报告；</t>
    </r>
    <r>
      <rPr>
        <b/>
        <sz val="12"/>
        <color theme="1"/>
        <rFont val="Times New Roman"/>
        <family val="1"/>
      </rPr>
      <t xml:space="preserve">
2</t>
    </r>
    <r>
      <rPr>
        <b/>
        <sz val="12"/>
        <color theme="1"/>
        <rFont val="宋体"/>
        <family val="3"/>
        <charset val="134"/>
      </rPr>
      <t>、以上报告若没有，则可填</t>
    </r>
    <r>
      <rPr>
        <b/>
        <sz val="12"/>
        <color theme="1"/>
        <rFont val="Times New Roman"/>
        <family val="1"/>
      </rPr>
      <t>“/”</t>
    </r>
    <r>
      <rPr>
        <b/>
        <sz val="12"/>
        <color theme="1"/>
        <rFont val="宋体"/>
        <family val="3"/>
        <charset val="134"/>
      </rPr>
      <t>；</t>
    </r>
  </si>
  <si>
    <r>
      <rPr>
        <b/>
        <sz val="10.5"/>
        <color theme="1"/>
        <rFont val="宋体"/>
        <family val="3"/>
        <charset val="134"/>
      </rPr>
      <t>英文试验报告</t>
    </r>
  </si>
  <si>
    <t>方法学相关</t>
  </si>
  <si>
    <r>
      <rPr>
        <sz val="10.5"/>
        <color theme="1"/>
        <rFont val="Times New Roman"/>
        <family val="1"/>
      </rPr>
      <t>SEND</t>
    </r>
    <r>
      <rPr>
        <sz val="10.5"/>
        <color theme="1"/>
        <rFont val="宋体"/>
        <family val="3"/>
        <charset val="134"/>
      </rPr>
      <t>数据包</t>
    </r>
  </si>
  <si>
    <r>
      <rPr>
        <sz val="10"/>
        <color theme="1"/>
        <rFont val="宋体"/>
        <family val="3"/>
        <charset val="134"/>
      </rPr>
      <t>符合申报要求的</t>
    </r>
    <r>
      <rPr>
        <sz val="10"/>
        <color theme="1"/>
        <rFont val="Times New Roman"/>
        <family val="1"/>
      </rPr>
      <t>SEND</t>
    </r>
    <r>
      <rPr>
        <sz val="10"/>
        <color theme="1"/>
        <rFont val="宋体"/>
        <family val="3"/>
        <charset val="134"/>
      </rPr>
      <t>数据包</t>
    </r>
  </si>
  <si>
    <r>
      <rPr>
        <sz val="10.5"/>
        <color theme="1"/>
        <rFont val="宋体"/>
        <family val="3"/>
        <charset val="134"/>
      </rPr>
      <t>份</t>
    </r>
  </si>
  <si>
    <r>
      <rPr>
        <sz val="12"/>
        <color theme="1"/>
        <rFont val="宋体"/>
        <family val="3"/>
        <charset val="134"/>
      </rPr>
      <t>合计</t>
    </r>
    <r>
      <rPr>
        <sz val="12"/>
        <color theme="1"/>
        <rFont val="Times New Roman"/>
        <family val="1"/>
      </rPr>
      <t>152</t>
    </r>
    <r>
      <rPr>
        <sz val="12"/>
        <color theme="1"/>
        <rFont val="宋体"/>
        <family val="3"/>
        <charset val="134"/>
      </rPr>
      <t>只，雌雄各半；
其中：
主试验组：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</t>
    </r>
    <r>
      <rPr>
        <sz val="12"/>
        <color theme="1"/>
        <rFont val="Times New Roman"/>
        <family val="1"/>
      </rPr>
      <t>30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组（雌雄各半），其中</t>
    </r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 xml:space="preserve">组（雌雄各半）进入恢复期；
</t>
    </r>
    <r>
      <rPr>
        <sz val="12"/>
        <color theme="1"/>
        <rFont val="Times New Roman"/>
        <family val="1"/>
      </rPr>
      <t>TK</t>
    </r>
    <r>
      <rPr>
        <sz val="12"/>
        <color theme="1"/>
        <rFont val="宋体"/>
        <family val="3"/>
        <charset val="134"/>
      </rPr>
      <t xml:space="preserve">卫星组：
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</t>
    </r>
    <r>
      <rPr>
        <sz val="12"/>
        <color theme="1"/>
        <rFont val="Times New Roman"/>
        <family val="1"/>
      </rPr>
      <t xml:space="preserve"> 8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组（暂定）</t>
    </r>
    <phoneticPr fontId="54" type="noConversion"/>
  </si>
  <si>
    <t>随血生化一起采集</t>
    <phoneticPr fontId="54" type="noConversion"/>
  </si>
  <si>
    <r>
      <rPr>
        <b/>
        <sz val="12"/>
        <rFont val="宋体"/>
        <family val="3"/>
        <charset val="134"/>
      </rPr>
      <t>血浆</t>
    </r>
  </si>
  <si>
    <r>
      <rPr>
        <b/>
        <sz val="12"/>
        <rFont val="宋体"/>
        <family val="3"/>
        <charset val="134"/>
      </rPr>
      <t>肝脏、胎盘：</t>
    </r>
    <r>
      <rPr>
        <sz val="12"/>
        <rFont val="宋体"/>
        <family val="3"/>
        <charset val="134"/>
      </rPr>
      <t>解剖点；</t>
    </r>
  </si>
  <si>
    <r>
      <rPr>
        <b/>
        <sz val="12"/>
        <rFont val="宋体"/>
        <family val="3"/>
        <charset val="134"/>
      </rPr>
      <t>血浆、肝脏：</t>
    </r>
    <r>
      <rPr>
        <sz val="12"/>
        <rFont val="宋体"/>
        <family val="3"/>
        <charset val="134"/>
      </rPr>
      <t>解剖点</t>
    </r>
  </si>
  <si>
    <r>
      <t>GLP</t>
    </r>
    <r>
      <rPr>
        <b/>
        <sz val="12"/>
        <color rgb="FF000000"/>
        <rFont val="宋体"/>
        <family val="3"/>
        <charset val="134"/>
      </rPr>
      <t>毒理试验</t>
    </r>
  </si>
  <si>
    <r>
      <rPr>
        <b/>
        <sz val="12"/>
        <color rgb="FF000000"/>
        <rFont val="宋体"/>
        <family val="3"/>
        <charset val="134"/>
      </rPr>
      <t>项目</t>
    </r>
  </si>
  <si>
    <r>
      <rPr>
        <b/>
        <sz val="12"/>
        <color rgb="FF000000"/>
        <rFont val="宋体"/>
        <family val="3"/>
        <charset val="134"/>
      </rPr>
      <t>具体研究内容</t>
    </r>
  </si>
  <si>
    <r>
      <rPr>
        <b/>
        <sz val="12"/>
        <color rgb="FF000000"/>
        <rFont val="宋体"/>
        <family val="3"/>
        <charset val="134"/>
      </rPr>
      <t>单位</t>
    </r>
  </si>
  <si>
    <r>
      <rPr>
        <b/>
        <sz val="12"/>
        <rFont val="宋体"/>
        <family val="3"/>
        <charset val="134"/>
      </rPr>
      <t>数量</t>
    </r>
  </si>
  <si>
    <r>
      <rPr>
        <b/>
        <sz val="12"/>
        <color rgb="FF000000"/>
        <rFont val="宋体"/>
        <family val="3"/>
        <charset val="134"/>
      </rPr>
      <t>不含税单价
元</t>
    </r>
  </si>
  <si>
    <r>
      <rPr>
        <b/>
        <sz val="12"/>
        <color rgb="FF000000"/>
        <rFont val="宋体"/>
        <family val="3"/>
        <charset val="134"/>
      </rPr>
      <t>不含税金额
元</t>
    </r>
  </si>
  <si>
    <r>
      <rPr>
        <b/>
        <sz val="12"/>
        <color theme="1"/>
        <rFont val="宋体"/>
        <family val="3"/>
        <charset val="134"/>
      </rPr>
      <t>备注</t>
    </r>
  </si>
  <si>
    <r>
      <rPr>
        <sz val="12"/>
        <color rgb="FF000000"/>
        <rFont val="宋体"/>
        <family val="3"/>
        <charset val="134"/>
      </rPr>
      <t>研究系统</t>
    </r>
  </si>
  <si>
    <r>
      <rPr>
        <sz val="12"/>
        <color theme="1"/>
        <rFont val="宋体"/>
        <family val="3"/>
        <charset val="134"/>
      </rPr>
      <t>种属</t>
    </r>
  </si>
  <si>
    <r>
      <t>SD</t>
    </r>
    <r>
      <rPr>
        <sz val="12"/>
        <color theme="1"/>
        <rFont val="宋体"/>
        <family val="3"/>
        <charset val="134"/>
      </rPr>
      <t>大鼠</t>
    </r>
    <r>
      <rPr>
        <b/>
        <sz val="12"/>
        <color theme="1"/>
        <rFont val="宋体"/>
        <family val="3"/>
        <charset val="134"/>
      </rPr>
      <t>（北京维通利华）</t>
    </r>
  </si>
  <si>
    <r>
      <rPr>
        <sz val="12"/>
        <color theme="1"/>
        <rFont val="宋体"/>
        <family val="3"/>
        <charset val="134"/>
      </rPr>
      <t>只</t>
    </r>
  </si>
  <si>
    <r>
      <rPr>
        <sz val="12"/>
        <color theme="1"/>
        <rFont val="宋体"/>
        <family val="3"/>
        <charset val="134"/>
      </rPr>
      <t xml:space="preserve">包含包装费和运输费
</t>
    </r>
    <r>
      <rPr>
        <sz val="12"/>
        <color rgb="FFFF0000"/>
        <rFont val="宋体"/>
        <family val="3"/>
        <charset val="134"/>
      </rPr>
      <t>（</t>
    </r>
    <r>
      <rPr>
        <sz val="12"/>
        <color rgb="FFFF0000"/>
        <rFont val="Times New Roman"/>
        <family val="1"/>
      </rPr>
      <t>TK</t>
    </r>
    <r>
      <rPr>
        <sz val="12"/>
        <color rgb="FFFF0000"/>
        <rFont val="宋体"/>
        <family val="3"/>
        <charset val="134"/>
      </rPr>
      <t>动物数量可根据机构</t>
    </r>
    <r>
      <rPr>
        <sz val="12"/>
        <color rgb="FFFF0000"/>
        <rFont val="Times New Roman"/>
        <family val="1"/>
      </rPr>
      <t>IACUC</t>
    </r>
    <r>
      <rPr>
        <sz val="12"/>
        <color rgb="FFFF0000"/>
        <rFont val="宋体"/>
        <family val="3"/>
        <charset val="134"/>
      </rPr>
      <t>要求调整）</t>
    </r>
    <phoneticPr fontId="54" type="noConversion"/>
  </si>
  <si>
    <r>
      <rPr>
        <sz val="12"/>
        <color theme="1"/>
        <rFont val="宋体"/>
        <family val="3"/>
        <charset val="134"/>
      </rPr>
      <t>年龄</t>
    </r>
  </si>
  <si>
    <r>
      <t>6-9</t>
    </r>
    <r>
      <rPr>
        <sz val="12"/>
        <color theme="1"/>
        <rFont val="宋体"/>
        <family val="3"/>
        <charset val="134"/>
      </rPr>
      <t>周</t>
    </r>
  </si>
  <si>
    <r>
      <rPr>
        <sz val="12"/>
        <color theme="1"/>
        <rFont val="宋体"/>
        <family val="3"/>
        <charset val="134"/>
      </rPr>
      <t>数量</t>
    </r>
  </si>
  <si>
    <r>
      <rPr>
        <sz val="12"/>
        <color rgb="FF000000"/>
        <rFont val="宋体"/>
        <family val="3"/>
        <charset val="134"/>
      </rPr>
      <t>动物饲养费用</t>
    </r>
  </si>
  <si>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</si>
  <si>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152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*197</t>
    </r>
    <r>
      <rPr>
        <sz val="12"/>
        <rFont val="宋体"/>
        <family val="3"/>
        <charset val="134"/>
      </rPr>
      <t>天
恢复期：</t>
    </r>
    <r>
      <rPr>
        <sz val="12"/>
        <rFont val="Times New Roman"/>
        <family val="1"/>
      </rPr>
      <t>72</t>
    </r>
    <r>
      <rPr>
        <sz val="12"/>
        <rFont val="宋体"/>
        <family val="3"/>
        <charset val="134"/>
      </rPr>
      <t>只（主试验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+TK 32</t>
    </r>
    <r>
      <rPr>
        <sz val="12"/>
        <rFont val="宋体"/>
        <family val="3"/>
        <charset val="134"/>
      </rPr>
      <t>只）</t>
    </r>
    <r>
      <rPr>
        <sz val="12"/>
        <rFont val="Times New Roman"/>
        <family val="1"/>
      </rPr>
      <t>*56</t>
    </r>
    <r>
      <rPr>
        <sz val="12"/>
        <rFont val="宋体"/>
        <family val="3"/>
        <charset val="134"/>
      </rPr>
      <t xml:space="preserve">天
</t>
    </r>
    <r>
      <rPr>
        <sz val="12"/>
        <color rgb="FFFF0000"/>
        <rFont val="宋体"/>
        <family val="3"/>
        <charset val="134"/>
      </rPr>
      <t>（</t>
    </r>
    <r>
      <rPr>
        <sz val="12"/>
        <color rgb="FFFF0000"/>
        <rFont val="Times New Roman"/>
        <family val="1"/>
      </rPr>
      <t>TK</t>
    </r>
    <r>
      <rPr>
        <sz val="12"/>
        <color rgb="FFFF0000"/>
        <rFont val="宋体"/>
        <family val="3"/>
        <charset val="134"/>
      </rPr>
      <t>动物数量可根据机构</t>
    </r>
    <r>
      <rPr>
        <sz val="12"/>
        <color rgb="FFFF0000"/>
        <rFont val="Times New Roman"/>
        <family val="1"/>
      </rPr>
      <t>IACUC</t>
    </r>
    <r>
      <rPr>
        <sz val="12"/>
        <color rgb="FFFF0000"/>
        <rFont val="宋体"/>
        <family val="3"/>
        <charset val="134"/>
      </rPr>
      <t>要求调整）</t>
    </r>
    <phoneticPr fontId="54" type="noConversion"/>
  </si>
  <si>
    <r>
      <rPr>
        <sz val="12"/>
        <color rgb="FF000000"/>
        <rFont val="宋体"/>
        <family val="3"/>
        <charset val="134"/>
      </rPr>
      <t>动物给药</t>
    </r>
  </si>
  <si>
    <r>
      <rPr>
        <sz val="12"/>
        <color theme="1"/>
        <rFont val="宋体"/>
        <family val="3"/>
        <charset val="134"/>
      </rPr>
      <t>给药途径</t>
    </r>
  </si>
  <si>
    <r>
      <rPr>
        <sz val="12"/>
        <rFont val="宋体"/>
        <family val="3"/>
        <charset val="134"/>
      </rPr>
      <t>例</t>
    </r>
  </si>
  <si>
    <r>
      <t>152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*8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</si>
  <si>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周期</t>
    </r>
  </si>
  <si>
    <r>
      <rPr>
        <sz val="12"/>
        <rFont val="宋体"/>
        <family val="3"/>
        <charset val="134"/>
      </rPr>
      <t>给药</t>
    </r>
    <r>
      <rPr>
        <sz val="12"/>
        <rFont val="Times New Roman"/>
        <family val="1"/>
      </rPr>
      <t>28</t>
    </r>
    <r>
      <rPr>
        <sz val="12"/>
        <rFont val="宋体"/>
        <family val="3"/>
        <charset val="134"/>
      </rPr>
      <t>周，恢复期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周</t>
    </r>
  </si>
  <si>
    <r>
      <rPr>
        <sz val="12"/>
        <color theme="1"/>
        <rFont val="宋体"/>
        <family val="3"/>
        <charset val="134"/>
      </rPr>
      <t>频次</t>
    </r>
  </si>
  <si>
    <r>
      <rPr>
        <sz val="12"/>
        <color rgb="FF000000"/>
        <rFont val="宋体"/>
        <family val="3"/>
        <charset val="134"/>
      </rPr>
      <t>供试品制剂</t>
    </r>
  </si>
  <si>
    <r>
      <rPr>
        <sz val="12"/>
        <color theme="1"/>
        <rFont val="宋体"/>
        <family val="3"/>
        <charset val="134"/>
      </rPr>
      <t>供试品制剂配制</t>
    </r>
  </si>
  <si>
    <r>
      <rPr>
        <sz val="12"/>
        <rFont val="宋体"/>
        <family val="3"/>
        <charset val="134"/>
      </rPr>
      <t>现用现配（暂定）；</t>
    </r>
  </si>
  <si>
    <r>
      <rPr>
        <sz val="12"/>
        <rFont val="宋体"/>
        <family val="3"/>
        <charset val="134"/>
      </rPr>
      <t>次</t>
    </r>
  </si>
  <si>
    <r>
      <t>8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</si>
  <si>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theme="1"/>
        <rFont val="宋体"/>
        <family val="3"/>
        <charset val="134"/>
      </rPr>
      <t>供试品制剂分析</t>
    </r>
  </si>
  <si>
    <r>
      <rPr>
        <sz val="12"/>
        <rFont val="宋体"/>
        <family val="3"/>
        <charset val="134"/>
      </rPr>
      <t>首、给药中期、末次给药制剂分析；</t>
    </r>
  </si>
  <si>
    <r>
      <t>3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</si>
  <si>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常规检测指标</t>
    </r>
  </si>
  <si>
    <r>
      <rPr>
        <sz val="12"/>
        <color rgb="FF000000"/>
        <rFont val="宋体"/>
        <family val="3"/>
        <charset val="134"/>
      </rPr>
      <t>临床观察</t>
    </r>
  </si>
  <si>
    <r>
      <rPr>
        <sz val="12"/>
        <rFont val="宋体"/>
        <family val="3"/>
        <charset val="134"/>
      </rPr>
      <t>笼旁观察：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</si>
  <si>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给药期：（</t>
    </r>
    <r>
      <rPr>
        <sz val="12"/>
        <rFont val="Times New Roman"/>
        <family val="1"/>
      </rPr>
      <t xml:space="preserve">24 </t>
    </r>
    <r>
      <rPr>
        <sz val="12"/>
        <rFont val="宋体"/>
        <family val="3"/>
        <charset val="134"/>
      </rPr>
      <t>主试验组</t>
    </r>
    <r>
      <rPr>
        <sz val="12"/>
        <rFont val="Times New Roman"/>
        <family val="1"/>
      </rPr>
      <t>+8 TK</t>
    </r>
    <r>
      <rPr>
        <sz val="12"/>
        <rFont val="宋体"/>
        <family val="3"/>
        <charset val="134"/>
      </rPr>
      <t>组）笼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*197</t>
    </r>
    <r>
      <rPr>
        <sz val="12"/>
        <rFont val="宋体"/>
        <family val="3"/>
        <charset val="134"/>
      </rPr>
      <t>天
恢复期：（</t>
    </r>
    <r>
      <rPr>
        <sz val="12"/>
        <rFont val="Times New Roman"/>
        <family val="1"/>
      </rPr>
      <t xml:space="preserve">8 </t>
    </r>
    <r>
      <rPr>
        <sz val="12"/>
        <rFont val="宋体"/>
        <family val="3"/>
        <charset val="134"/>
      </rPr>
      <t>主试验组</t>
    </r>
    <r>
      <rPr>
        <sz val="12"/>
        <rFont val="Times New Roman"/>
        <family val="1"/>
      </rPr>
      <t>+8 TK</t>
    </r>
    <r>
      <rPr>
        <sz val="12"/>
        <rFont val="宋体"/>
        <family val="3"/>
        <charset val="134"/>
      </rPr>
      <t>组）笼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*56</t>
    </r>
    <r>
      <rPr>
        <sz val="12"/>
        <rFont val="宋体"/>
        <family val="3"/>
        <charset val="134"/>
      </rPr>
      <t>天
按照主试验组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笼、</t>
    </r>
    <r>
      <rPr>
        <sz val="12"/>
        <color theme="1"/>
        <rFont val="Times New Roman"/>
        <family val="1"/>
      </rPr>
      <t>TK</t>
    </r>
    <r>
      <rPr>
        <sz val="12"/>
        <color theme="1"/>
        <rFont val="宋体"/>
        <family val="3"/>
        <charset val="134"/>
      </rPr>
      <t>组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笼计</t>
    </r>
  </si>
  <si>
    <r>
      <rPr>
        <sz val="12"/>
        <color rgb="FF000000"/>
        <rFont val="宋体"/>
        <family val="3"/>
        <charset val="134"/>
      </rPr>
      <t>详细观察：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周</t>
    </r>
  </si>
  <si>
    <r>
      <rPr>
        <sz val="12"/>
        <color rgb="FF000000"/>
        <rFont val="宋体"/>
        <family val="3"/>
        <charset val="134"/>
      </rPr>
      <t>例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</si>
  <si>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152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*28</t>
    </r>
    <r>
      <rPr>
        <sz val="12"/>
        <rFont val="宋体"/>
        <family val="3"/>
        <charset val="134"/>
      </rPr>
      <t>周
恢复期：</t>
    </r>
    <r>
      <rPr>
        <sz val="12"/>
        <rFont val="Times New Roman"/>
        <family val="1"/>
      </rPr>
      <t>72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*8</t>
    </r>
    <r>
      <rPr>
        <sz val="12"/>
        <rFont val="宋体"/>
        <family val="3"/>
        <charset val="134"/>
      </rPr>
      <t>周</t>
    </r>
  </si>
  <si>
    <r>
      <rPr>
        <sz val="12"/>
        <color rgb="FF000000"/>
        <rFont val="宋体"/>
        <family val="3"/>
        <charset val="134"/>
      </rPr>
      <t>摄食情况</t>
    </r>
  </si>
  <si>
    <r>
      <rPr>
        <sz val="12"/>
        <color rgb="FF000000"/>
        <rFont val="宋体"/>
        <family val="3"/>
        <charset val="134"/>
      </rPr>
      <t>给药期每周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次，恢复期每周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</si>
  <si>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24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*28</t>
    </r>
    <r>
      <rPr>
        <sz val="12"/>
        <rFont val="宋体"/>
        <family val="3"/>
        <charset val="134"/>
      </rPr>
      <t>周
恢复期：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*8</t>
    </r>
    <r>
      <rPr>
        <sz val="12"/>
        <rFont val="宋体"/>
        <family val="3"/>
        <charset val="134"/>
      </rPr>
      <t>周</t>
    </r>
  </si>
  <si>
    <r>
      <rPr>
        <b/>
        <sz val="12"/>
        <color rgb="FFFF0000"/>
        <rFont val="宋体"/>
        <family val="3"/>
        <charset val="134"/>
      </rPr>
      <t>仅按主试验组动物数目计算</t>
    </r>
  </si>
  <si>
    <r>
      <rPr>
        <sz val="12"/>
        <color rgb="FF000000"/>
        <rFont val="宋体"/>
        <family val="3"/>
        <charset val="134"/>
      </rPr>
      <t>体重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</si>
  <si>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次，给药期每周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次，恢复期每周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次；</t>
    </r>
  </si>
  <si>
    <r>
      <rPr>
        <sz val="12"/>
        <rFont val="宋体"/>
        <family val="3"/>
        <charset val="134"/>
      </rPr>
      <t>给药前：</t>
    </r>
    <r>
      <rPr>
        <sz val="12"/>
        <rFont val="Times New Roman"/>
        <family val="1"/>
      </rPr>
      <t>120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次
给药期：</t>
    </r>
    <r>
      <rPr>
        <sz val="12"/>
        <rFont val="Times New Roman"/>
        <family val="1"/>
      </rPr>
      <t>120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*28</t>
    </r>
    <r>
      <rPr>
        <sz val="12"/>
        <rFont val="宋体"/>
        <family val="3"/>
        <charset val="134"/>
      </rPr>
      <t>周
恢复期：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*8</t>
    </r>
    <r>
      <rPr>
        <sz val="12"/>
        <rFont val="宋体"/>
        <family val="3"/>
        <charset val="134"/>
      </rPr>
      <t>周</t>
    </r>
  </si>
  <si>
    <r>
      <rPr>
        <sz val="12"/>
        <color rgb="FF000000"/>
        <rFont val="宋体"/>
        <family val="3"/>
        <charset val="134"/>
      </rPr>
      <t>体温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</si>
  <si>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次、首次药后、给药中期、给药结束、恢复期结束各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</si>
  <si>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theme="1"/>
        <rFont val="宋体"/>
        <family val="3"/>
        <charset val="134"/>
      </rPr>
      <t>给药前：</t>
    </r>
    <r>
      <rPr>
        <sz val="12"/>
        <color theme="1"/>
        <rFont val="Times New Roman"/>
        <family val="1"/>
      </rPr>
      <t>120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*2</t>
    </r>
    <r>
      <rPr>
        <sz val="12"/>
        <color theme="1"/>
        <rFont val="宋体"/>
        <family val="3"/>
        <charset val="134"/>
      </rPr>
      <t>次
给药期：</t>
    </r>
    <r>
      <rPr>
        <sz val="12"/>
        <color theme="1"/>
        <rFont val="Times New Roman"/>
        <family val="1"/>
      </rPr>
      <t>120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*3</t>
    </r>
    <r>
      <rPr>
        <sz val="12"/>
        <color theme="1"/>
        <rFont val="宋体"/>
        <family val="3"/>
        <charset val="134"/>
      </rPr>
      <t>次
恢复期：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</si>
  <si>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眼科检查</t>
    </r>
  </si>
  <si>
    <r>
      <rPr>
        <sz val="12"/>
        <color rgb="FF000000"/>
        <rFont val="宋体"/>
        <family val="3"/>
        <charset val="134"/>
      </rPr>
      <t>给药前、给药期末和恢复期末各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</si>
  <si>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theme="1"/>
        <rFont val="宋体"/>
        <family val="3"/>
        <charset val="134"/>
      </rPr>
      <t>给药前：</t>
    </r>
    <r>
      <rPr>
        <sz val="12"/>
        <color theme="1"/>
        <rFont val="Times New Roman"/>
        <family val="1"/>
      </rPr>
      <t>120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
给药期：</t>
    </r>
    <r>
      <rPr>
        <sz val="12"/>
        <color theme="1"/>
        <rFont val="Times New Roman"/>
        <family val="1"/>
      </rPr>
      <t>120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
恢复期：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</si>
  <si>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临床病理</t>
    </r>
  </si>
  <si>
    <r>
      <rPr>
        <sz val="12"/>
        <color rgb="FF000000"/>
        <rFont val="宋体"/>
        <family val="3"/>
        <charset val="134"/>
      </rPr>
      <t>血液学</t>
    </r>
  </si>
  <si>
    <r>
      <rPr>
        <sz val="12"/>
        <color rgb="FF000000"/>
        <rFont val="宋体"/>
        <family val="3"/>
        <charset val="134"/>
      </rPr>
      <t>给药期结束和恢复期各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</si>
  <si>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theme="1"/>
        <rFont val="宋体"/>
        <family val="3"/>
        <charset val="134"/>
      </rPr>
      <t>给药期：</t>
    </r>
    <r>
      <rPr>
        <sz val="12"/>
        <color theme="1"/>
        <rFont val="Times New Roman"/>
        <family val="1"/>
      </rPr>
      <t>80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
恢复期：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</si>
  <si>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血生化</t>
    </r>
  </si>
  <si>
    <r>
      <rPr>
        <sz val="12"/>
        <color rgb="FF000000"/>
        <rFont val="宋体"/>
        <family val="3"/>
        <charset val="134"/>
      </rPr>
      <t>血凝</t>
    </r>
  </si>
  <si>
    <r>
      <rPr>
        <sz val="12"/>
        <color rgb="FF000000"/>
        <rFont val="宋体"/>
        <family val="3"/>
        <charset val="134"/>
      </rPr>
      <t>血清电解质</t>
    </r>
  </si>
  <si>
    <r>
      <rPr>
        <sz val="12"/>
        <color rgb="FF000000"/>
        <rFont val="宋体"/>
        <family val="3"/>
        <charset val="134"/>
      </rPr>
      <t>尿液</t>
    </r>
  </si>
  <si>
    <r>
      <t>TK</t>
    </r>
    <r>
      <rPr>
        <sz val="12"/>
        <rFont val="宋体"/>
        <family val="3"/>
        <charset val="134"/>
      </rPr>
      <t>样本采集</t>
    </r>
  </si>
  <si>
    <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
供试品组采集首次和末次给药药前、药后</t>
    </r>
    <r>
      <rPr>
        <sz val="12"/>
        <color theme="1"/>
        <rFont val="Times New Roman"/>
        <family val="1"/>
      </rPr>
      <t>15min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30min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1h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4h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8h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24h </t>
    </r>
    <r>
      <rPr>
        <sz val="12"/>
        <color theme="1"/>
        <rFont val="宋体"/>
        <family val="3"/>
        <charset val="134"/>
      </rPr>
      <t>共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个点，给药中期（</t>
    </r>
    <r>
      <rPr>
        <sz val="12"/>
        <color theme="1"/>
        <rFont val="Times New Roman"/>
        <family val="1"/>
      </rPr>
      <t>D85</t>
    </r>
    <r>
      <rPr>
        <sz val="12"/>
        <color theme="1"/>
        <rFont val="宋体"/>
        <family val="3"/>
        <charset val="134"/>
      </rPr>
      <t>）药前和药后</t>
    </r>
    <r>
      <rPr>
        <sz val="12"/>
        <color theme="1"/>
        <rFont val="Times New Roman"/>
        <family val="1"/>
      </rPr>
      <t>1h</t>
    </r>
    <r>
      <rPr>
        <sz val="12"/>
        <color theme="1"/>
        <rFont val="宋体"/>
        <family val="3"/>
        <charset val="134"/>
      </rPr>
      <t>点；对照组采集给药前、给药后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个时间点【共计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个周期】</t>
    </r>
  </si>
  <si>
    <r>
      <rPr>
        <sz val="12"/>
        <rFont val="宋体"/>
        <family val="3"/>
        <charset val="134"/>
      </rPr>
      <t>周期</t>
    </r>
  </si>
  <si>
    <r>
      <rPr>
        <sz val="12"/>
        <color theme="1"/>
        <rFont val="宋体"/>
        <family val="3"/>
        <charset val="134"/>
      </rPr>
      <t>对照：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*2</t>
    </r>
    <r>
      <rPr>
        <sz val="12"/>
        <color theme="1"/>
        <rFont val="宋体"/>
        <family val="3"/>
        <charset val="134"/>
      </rPr>
      <t>点</t>
    </r>
    <r>
      <rPr>
        <sz val="12"/>
        <color theme="1"/>
        <rFont val="Times New Roman"/>
        <family val="1"/>
      </rPr>
      <t>*2</t>
    </r>
    <r>
      <rPr>
        <sz val="12"/>
        <color theme="1"/>
        <rFont val="宋体"/>
        <family val="3"/>
        <charset val="134"/>
      </rPr>
      <t>周期
供试品组：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*3</t>
    </r>
    <r>
      <rPr>
        <sz val="12"/>
        <color theme="1"/>
        <rFont val="宋体"/>
        <family val="3"/>
        <charset val="134"/>
      </rPr>
      <t>个剂量组</t>
    </r>
    <r>
      <rPr>
        <sz val="12"/>
        <color theme="1"/>
        <rFont val="Times New Roman"/>
        <family val="1"/>
      </rPr>
      <t>*8</t>
    </r>
    <r>
      <rPr>
        <sz val="12"/>
        <color theme="1"/>
        <rFont val="宋体"/>
        <family val="3"/>
        <charset val="134"/>
      </rPr>
      <t>点</t>
    </r>
    <r>
      <rPr>
        <sz val="12"/>
        <color theme="1"/>
        <rFont val="Times New Roman"/>
        <family val="1"/>
      </rPr>
      <t>*2</t>
    </r>
    <r>
      <rPr>
        <sz val="12"/>
        <color theme="1"/>
        <rFont val="宋体"/>
        <family val="3"/>
        <charset val="134"/>
      </rPr>
      <t>周期</t>
    </r>
    <r>
      <rPr>
        <sz val="12"/>
        <color theme="1"/>
        <rFont val="Times New Roman"/>
        <family val="1"/>
      </rPr>
      <t>+8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*3</t>
    </r>
    <r>
      <rPr>
        <sz val="12"/>
        <color theme="1"/>
        <rFont val="宋体"/>
        <family val="3"/>
        <charset val="134"/>
      </rPr>
      <t>个剂量组</t>
    </r>
    <r>
      <rPr>
        <sz val="12"/>
        <color theme="1"/>
        <rFont val="Times New Roman"/>
        <family val="1"/>
      </rPr>
      <t>*2</t>
    </r>
    <r>
      <rPr>
        <sz val="12"/>
        <color theme="1"/>
        <rFont val="宋体"/>
        <family val="3"/>
        <charset val="134"/>
      </rPr>
      <t>点</t>
    </r>
  </si>
  <si>
    <r>
      <rPr>
        <b/>
        <sz val="12"/>
        <rFont val="宋体"/>
        <family val="3"/>
        <charset val="134"/>
      </rPr>
      <t>肝脏</t>
    </r>
  </si>
  <si>
    <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
给药期结束和恢复期结束解剖各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个时间点；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</si>
  <si>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80</t>
    </r>
    <r>
      <rPr>
        <sz val="12"/>
        <rFont val="宋体"/>
        <family val="3"/>
        <charset val="134"/>
      </rPr>
      <t>只
恢复期：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</si>
  <si>
    <r>
      <rPr>
        <b/>
        <sz val="12"/>
        <rFont val="宋体"/>
        <family val="3"/>
        <charset val="134"/>
      </rPr>
      <t>肾脏</t>
    </r>
  </si>
  <si>
    <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
给药期结束和恢复期结束解剖各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 xml:space="preserve">个时间点；
</t>
    </r>
    <r>
      <rPr>
        <b/>
        <sz val="12"/>
        <color rgb="FF0000FF"/>
        <rFont val="宋体"/>
        <family val="3"/>
        <charset val="134"/>
      </rPr>
      <t>采集备测</t>
    </r>
  </si>
  <si>
    <r>
      <t>TK</t>
    </r>
    <r>
      <rPr>
        <sz val="12"/>
        <rFont val="宋体"/>
        <family val="3"/>
        <charset val="134"/>
      </rPr>
      <t>样本检测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</si>
  <si>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80</t>
    </r>
    <r>
      <rPr>
        <sz val="12"/>
        <rFont val="宋体"/>
        <family val="3"/>
        <charset val="134"/>
      </rPr>
      <t>只
恢复期：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 xml:space="preserve">只
</t>
    </r>
    <r>
      <rPr>
        <sz val="12"/>
        <rFont val="Times New Roman"/>
        <family val="1"/>
      </rPr>
      <t>10%ISR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120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 xml:space="preserve">*10%
</t>
    </r>
    <r>
      <rPr>
        <b/>
        <sz val="12"/>
        <color rgb="FFFF0000"/>
        <rFont val="宋体"/>
        <family val="3"/>
        <charset val="134"/>
      </rPr>
      <t>请报单个代谢产物检测单价：</t>
    </r>
  </si>
  <si>
    <r>
      <t>ADA</t>
    </r>
    <r>
      <rPr>
        <sz val="12"/>
        <rFont val="宋体"/>
        <family val="3"/>
        <charset val="134"/>
      </rPr>
      <t>样本采集</t>
    </r>
  </si>
  <si>
    <r>
      <rPr>
        <b/>
        <sz val="12"/>
        <color theme="1"/>
        <rFont val="宋体"/>
        <family val="3"/>
        <charset val="134"/>
      </rPr>
      <t>血清：</t>
    </r>
    <r>
      <rPr>
        <sz val="12"/>
        <color theme="1"/>
        <rFont val="Times New Roman"/>
        <family val="1"/>
      </rPr>
      <t>D1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D15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D29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D85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D141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D197</t>
    </r>
    <r>
      <rPr>
        <sz val="12"/>
        <color theme="1"/>
        <rFont val="宋体"/>
        <family val="3"/>
        <charset val="134"/>
      </rPr>
      <t>药前、恢复期中期和恢复期末；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</si>
  <si>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32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 xml:space="preserve">*6
</t>
    </r>
    <r>
      <rPr>
        <sz val="12"/>
        <rFont val="宋体"/>
        <family val="3"/>
        <charset val="134"/>
      </rPr>
      <t>恢复期：</t>
    </r>
    <r>
      <rPr>
        <sz val="12"/>
        <rFont val="Times New Roman"/>
        <family val="1"/>
      </rPr>
      <t>32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</si>
  <si>
    <r>
      <t>ADA</t>
    </r>
    <r>
      <rPr>
        <sz val="12"/>
        <rFont val="宋体"/>
        <family val="3"/>
        <charset val="134"/>
      </rPr>
      <t>样本检测</t>
    </r>
  </si>
  <si>
    <r>
      <rPr>
        <b/>
        <sz val="12"/>
        <color theme="1"/>
        <rFont val="Times New Roman"/>
        <family val="1"/>
      </rPr>
      <t>ELISA</t>
    </r>
    <r>
      <rPr>
        <b/>
        <sz val="12"/>
        <color theme="1"/>
        <rFont val="宋体"/>
        <family val="3"/>
        <charset val="134"/>
      </rPr>
      <t>方法：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个剂量组】，样本筛选，共计</t>
    </r>
    <r>
      <rPr>
        <sz val="12"/>
        <color theme="1"/>
        <rFont val="Times New Roman"/>
        <family val="1"/>
      </rPr>
      <t>256</t>
    </r>
    <r>
      <rPr>
        <sz val="12"/>
        <color theme="1"/>
        <rFont val="宋体"/>
        <family val="3"/>
        <charset val="134"/>
      </rPr>
      <t>个样本</t>
    </r>
  </si>
  <si>
    <r>
      <rPr>
        <sz val="12"/>
        <rFont val="宋体"/>
        <family val="3"/>
        <charset val="134"/>
      </rPr>
      <t>样本筛选：</t>
    </r>
    <r>
      <rPr>
        <sz val="12"/>
        <rFont val="Times New Roman"/>
        <family val="1"/>
      </rPr>
      <t>256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方法筛选单价；</t>
    </r>
  </si>
  <si>
    <r>
      <rPr>
        <sz val="12"/>
        <color rgb="FF000000"/>
        <rFont val="宋体"/>
        <family val="3"/>
        <charset val="134"/>
      </rPr>
      <t>免疫毒性样本采集</t>
    </r>
  </si>
  <si>
    <r>
      <rPr>
        <sz val="12"/>
        <rFont val="宋体"/>
        <family val="3"/>
        <charset val="134"/>
      </rPr>
      <t>免疫球蛋白（</t>
    </r>
    <r>
      <rPr>
        <sz val="12"/>
        <rFont val="Times New Roman"/>
        <family val="1"/>
      </rPr>
      <t>IgG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IgM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IgA</t>
    </r>
    <r>
      <rPr>
        <sz val="12"/>
        <rFont val="宋体"/>
        <family val="3"/>
        <charset val="134"/>
      </rPr>
      <t>）</t>
    </r>
  </si>
  <si>
    <r>
      <rPr>
        <sz val="12"/>
        <rFont val="宋体"/>
        <family val="3"/>
        <charset val="134"/>
      </rPr>
      <t>给药期结束、恢复期结束各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</t>
    </r>
    <phoneticPr fontId="54" type="noConversion"/>
  </si>
  <si>
    <r>
      <rPr>
        <sz val="12"/>
        <color rgb="FFFF0000"/>
        <rFont val="宋体"/>
        <family val="3"/>
        <charset val="134"/>
      </rPr>
      <t>随血生化一起采集</t>
    </r>
    <phoneticPr fontId="54" type="noConversion"/>
  </si>
  <si>
    <r>
      <rPr>
        <sz val="12"/>
        <rFont val="宋体"/>
        <family val="3"/>
        <charset val="134"/>
      </rPr>
      <t>补体（</t>
    </r>
    <r>
      <rPr>
        <sz val="12"/>
        <rFont val="Times New Roman"/>
        <family val="1"/>
      </rPr>
      <t>C3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C4</t>
    </r>
    <r>
      <rPr>
        <sz val="12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</si>
  <si>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淋巴细胞表面抗原（</t>
    </r>
    <r>
      <rPr>
        <sz val="12"/>
        <color rgb="FF000000"/>
        <rFont val="Times New Roman"/>
        <family val="1"/>
      </rPr>
      <t>CD3+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CD3+CD4+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CD3+CD8+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CD3-CD20+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CD3-CD16+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</si>
  <si>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给药期结束、恢复期结束各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</si>
  <si>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给药期：</t>
    </r>
    <r>
      <rPr>
        <sz val="12"/>
        <color rgb="FF000000"/>
        <rFont val="Times New Roman"/>
        <family val="1"/>
      </rPr>
      <t>80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</si>
  <si>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细胞因子（</t>
    </r>
    <r>
      <rPr>
        <sz val="12"/>
        <color rgb="FF000000"/>
        <rFont val="Times New Roman"/>
        <family val="1"/>
      </rPr>
      <t>TNF-α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IFN-γ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IL-2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IL-6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IL-8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imes New Roman"/>
        <family val="1"/>
      </rPr>
      <t>IL-10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</si>
  <si>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免疫毒性样本检测</t>
    </r>
  </si>
  <si>
    <r>
      <rPr>
        <sz val="12"/>
        <rFont val="宋体"/>
        <family val="3"/>
        <charset val="134"/>
      </rPr>
      <t>给药期结束、恢复期结束各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次。</t>
    </r>
  </si>
  <si>
    <r>
      <rPr>
        <sz val="12"/>
        <color rgb="FF000000"/>
        <rFont val="宋体"/>
        <family val="3"/>
        <charset val="134"/>
      </rPr>
      <t>动物解剖</t>
    </r>
  </si>
  <si>
    <r>
      <rPr>
        <sz val="12"/>
        <color rgb="FF000000"/>
        <rFont val="宋体"/>
        <family val="3"/>
        <charset val="134"/>
      </rPr>
      <t>所有动物大体解剖及肉眼观察，脏器重量及系数</t>
    </r>
  </si>
  <si>
    <r>
      <rPr>
        <sz val="12"/>
        <color rgb="FF000000"/>
        <rFont val="宋体"/>
        <family val="3"/>
        <charset val="134"/>
      </rPr>
      <t>只</t>
    </r>
  </si>
  <si>
    <r>
      <rPr>
        <sz val="12"/>
        <color theme="1"/>
        <rFont val="宋体"/>
        <family val="3"/>
        <charset val="134"/>
      </rPr>
      <t>给药期：</t>
    </r>
    <r>
      <rPr>
        <sz val="12"/>
        <color theme="1"/>
        <rFont val="Times New Roman"/>
        <family val="1"/>
      </rPr>
      <t>80</t>
    </r>
    <r>
      <rPr>
        <sz val="12"/>
        <color theme="1"/>
        <rFont val="宋体"/>
        <family val="3"/>
        <charset val="134"/>
      </rPr>
      <t>只
恢复期：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3"/>
        <charset val="134"/>
      </rPr>
      <t>只</t>
    </r>
  </si>
  <si>
    <r>
      <rPr>
        <sz val="12"/>
        <color rgb="FF000000"/>
        <rFont val="宋体"/>
        <family val="3"/>
        <charset val="134"/>
      </rPr>
      <t>骨髓涂片制片</t>
    </r>
  </si>
  <si>
    <r>
      <rPr>
        <sz val="12"/>
        <color rgb="FF000000"/>
        <rFont val="宋体"/>
        <family val="3"/>
        <charset val="134"/>
      </rPr>
      <t>所有动物骨髓涂片制片</t>
    </r>
  </si>
  <si>
    <r>
      <rPr>
        <sz val="12"/>
        <rFont val="宋体"/>
        <family val="3"/>
        <charset val="134"/>
      </rPr>
      <t>只</t>
    </r>
  </si>
  <si>
    <r>
      <rPr>
        <sz val="12"/>
        <color rgb="FF000000"/>
        <rFont val="宋体"/>
        <family val="3"/>
        <charset val="134"/>
      </rPr>
      <t>骨髓涂片阅片</t>
    </r>
  </si>
  <si>
    <r>
      <rPr>
        <sz val="12"/>
        <color rgb="FF000000"/>
        <rFont val="宋体"/>
        <family val="3"/>
        <charset val="134"/>
      </rPr>
      <t>所有动物骨髓涂片阅片</t>
    </r>
    <r>
      <rPr>
        <b/>
        <sz val="12"/>
        <color rgb="FF0000FF"/>
        <rFont val="宋体"/>
        <family val="3"/>
        <charset val="134"/>
      </rPr>
      <t>（根据血液学指标判断是否需要）</t>
    </r>
  </si>
  <si>
    <r>
      <rPr>
        <sz val="12"/>
        <color rgb="FFFF0000"/>
        <rFont val="宋体"/>
        <family val="3"/>
        <charset val="134"/>
      </rPr>
      <t>仅报单价，本次合计报价不包含该部分的价格（根据实际数量结算）</t>
    </r>
  </si>
  <si>
    <r>
      <rPr>
        <sz val="12"/>
        <color rgb="FF000000"/>
        <rFont val="宋体"/>
        <family val="3"/>
        <charset val="134"/>
      </rPr>
      <t>组织病理学</t>
    </r>
  </si>
  <si>
    <r>
      <rPr>
        <sz val="12"/>
        <color rgb="FF000000"/>
        <rFont val="宋体"/>
        <family val="3"/>
        <charset val="134"/>
      </rPr>
      <t>制作组织病理切片；</t>
    </r>
  </si>
  <si>
    <r>
      <rPr>
        <sz val="12"/>
        <rFont val="宋体"/>
        <family val="3"/>
        <charset val="134"/>
      </rPr>
      <t>个脏器</t>
    </r>
  </si>
  <si>
    <r>
      <t>45</t>
    </r>
    <r>
      <rPr>
        <sz val="12"/>
        <color rgb="FF000000"/>
        <rFont val="宋体"/>
        <family val="3"/>
        <charset val="134"/>
      </rPr>
      <t>个脏器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*60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+</t>
    </r>
    <r>
      <rPr>
        <sz val="12"/>
        <color rgb="FF000000"/>
        <rFont val="宋体"/>
        <family val="3"/>
        <charset val="134"/>
      </rPr>
      <t>可能的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宋体"/>
        <family val="3"/>
        <charset val="134"/>
      </rPr>
      <t>个靶器官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*60</t>
    </r>
    <r>
      <rPr>
        <sz val="12"/>
        <color rgb="FF000000"/>
        <rFont val="宋体"/>
        <family val="3"/>
        <charset val="134"/>
      </rPr>
      <t>只</t>
    </r>
    <phoneticPr fontId="54" type="noConversion"/>
  </si>
  <si>
    <r>
      <rPr>
        <sz val="12"/>
        <color rgb="FF000000"/>
        <rFont val="宋体"/>
        <family val="3"/>
        <charset val="134"/>
      </rPr>
      <t>同行评议</t>
    </r>
  </si>
  <si>
    <r>
      <rPr>
        <sz val="12"/>
        <color rgb="FF000000"/>
        <rFont val="宋体"/>
        <family val="3"/>
        <charset val="134"/>
      </rPr>
      <t>具有</t>
    </r>
    <r>
      <rPr>
        <sz val="12"/>
        <color rgb="FF000000"/>
        <rFont val="Times New Roman"/>
        <family val="1"/>
      </rPr>
      <t>ACVP</t>
    </r>
    <r>
      <rPr>
        <sz val="12"/>
        <color rgb="FF000000"/>
        <rFont val="宋体"/>
        <family val="3"/>
        <charset val="134"/>
      </rPr>
      <t>资质的病理学家</t>
    </r>
  </si>
  <si>
    <r>
      <rPr>
        <sz val="12"/>
        <color theme="1"/>
        <rFont val="宋体"/>
        <family val="3"/>
        <charset val="134"/>
      </rPr>
      <t>个试验</t>
    </r>
  </si>
  <si>
    <r>
      <rPr>
        <sz val="12"/>
        <color rgb="FF000000"/>
        <rFont val="宋体"/>
        <family val="3"/>
        <charset val="134"/>
      </rPr>
      <t>具有</t>
    </r>
    <r>
      <rPr>
        <sz val="12"/>
        <color rgb="FF000000"/>
        <rFont val="Times New Roman"/>
        <family val="1"/>
      </rPr>
      <t>JCVP</t>
    </r>
    <r>
      <rPr>
        <sz val="12"/>
        <color rgb="FF000000"/>
        <rFont val="宋体"/>
        <family val="3"/>
        <charset val="134"/>
      </rPr>
      <t>资质的病理学家</t>
    </r>
  </si>
  <si>
    <r>
      <rPr>
        <sz val="12"/>
        <color theme="1"/>
        <rFont val="宋体"/>
        <family val="3"/>
        <charset val="134"/>
      </rPr>
      <t>食蟹猴</t>
    </r>
  </si>
  <si>
    <r>
      <rPr>
        <sz val="12"/>
        <color theme="1"/>
        <rFont val="宋体"/>
        <family val="3"/>
        <charset val="134"/>
      </rPr>
      <t>包含包装费和运输费</t>
    </r>
  </si>
  <si>
    <r>
      <t>3~5</t>
    </r>
    <r>
      <rPr>
        <sz val="12"/>
        <color theme="1"/>
        <rFont val="宋体"/>
        <family val="3"/>
        <charset val="134"/>
      </rPr>
      <t>岁</t>
    </r>
  </si>
  <si>
    <r>
      <rPr>
        <sz val="12"/>
        <color theme="1"/>
        <rFont val="宋体"/>
        <family val="3"/>
        <charset val="134"/>
      </rPr>
      <t>合计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3"/>
        <charset val="134"/>
      </rPr>
      <t xml:space="preserve">只，雌雄各半；
其中：
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个剂量组】，共</t>
    </r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组（雌雄各半）；其中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组（雌雄各半）进入恢复期；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</si>
  <si>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*281</t>
    </r>
    <r>
      <rPr>
        <sz val="12"/>
        <rFont val="宋体"/>
        <family val="3"/>
        <charset val="134"/>
      </rPr>
      <t>天
恢复期：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*56</t>
    </r>
    <r>
      <rPr>
        <sz val="12"/>
        <rFont val="宋体"/>
        <family val="3"/>
        <charset val="134"/>
      </rPr>
      <t>天</t>
    </r>
  </si>
  <si>
    <r>
      <t>40</t>
    </r>
    <r>
      <rPr>
        <sz val="12"/>
        <color theme="1"/>
        <rFont val="宋体"/>
        <family val="3"/>
        <charset val="134"/>
      </rPr>
      <t>只</t>
    </r>
    <r>
      <rPr>
        <sz val="12"/>
        <color theme="1"/>
        <rFont val="Times New Roman"/>
        <family val="1"/>
      </rPr>
      <t>*11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</si>
  <si>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周，恢复</t>
    </r>
    <r>
      <rPr>
        <sz val="12"/>
        <color rgb="FF000000"/>
        <rFont val="Times New Roman"/>
        <family val="1"/>
      </rPr>
      <t>8</t>
    </r>
    <r>
      <rPr>
        <sz val="12"/>
        <color rgb="FF000000"/>
        <rFont val="宋体"/>
        <family val="3"/>
        <charset val="134"/>
      </rPr>
      <t>周</t>
    </r>
  </si>
  <si>
    <r>
      <rPr>
        <sz val="12"/>
        <color theme="1"/>
        <rFont val="宋体"/>
        <family val="3"/>
        <charset val="134"/>
      </rPr>
      <t>现用现配（暂定）</t>
    </r>
  </si>
  <si>
    <r>
      <t>11</t>
    </r>
    <r>
      <rPr>
        <sz val="12"/>
        <color theme="1"/>
        <rFont val="宋体"/>
        <family val="3"/>
        <charset val="134"/>
      </rPr>
      <t>次</t>
    </r>
  </si>
  <si>
    <r>
      <rPr>
        <sz val="12"/>
        <rFont val="宋体"/>
        <family val="3"/>
        <charset val="134"/>
      </rPr>
      <t>首次给药、给药期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次、末次给药制剂分析</t>
    </r>
  </si>
  <si>
    <r>
      <t>4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</si>
  <si>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笼旁观察：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天</t>
    </r>
  </si>
  <si>
    <r>
      <rPr>
        <sz val="12"/>
        <color rgb="FF000000"/>
        <rFont val="宋体"/>
        <family val="3"/>
        <charset val="134"/>
      </rPr>
      <t>笼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</si>
  <si>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*281</t>
    </r>
    <r>
      <rPr>
        <sz val="12"/>
        <rFont val="宋体"/>
        <family val="3"/>
        <charset val="134"/>
      </rPr>
      <t>天
恢复期：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*56</t>
    </r>
    <r>
      <rPr>
        <sz val="12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</si>
  <si>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*40</t>
    </r>
    <r>
      <rPr>
        <sz val="12"/>
        <rFont val="宋体"/>
        <family val="3"/>
        <charset val="134"/>
      </rPr>
      <t>周
恢复期：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*8</t>
    </r>
    <r>
      <rPr>
        <sz val="12"/>
        <rFont val="宋体"/>
        <family val="3"/>
        <charset val="134"/>
      </rPr>
      <t>周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</si>
  <si>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7</t>
    </r>
    <r>
      <rPr>
        <sz val="12"/>
        <color rgb="FF000000"/>
        <rFont val="宋体"/>
        <family val="3"/>
        <charset val="134"/>
      </rPr>
      <t>次，给药后每天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</si>
  <si>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281+7</t>
    </r>
    <r>
      <rPr>
        <sz val="12"/>
        <rFont val="宋体"/>
        <family val="3"/>
        <charset val="134"/>
      </rPr>
      <t>）天
恢复期：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笼</t>
    </r>
    <r>
      <rPr>
        <sz val="12"/>
        <rFont val="Times New Roman"/>
        <family val="1"/>
      </rPr>
      <t>*1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  <r>
      <rPr>
        <sz val="12"/>
        <rFont val="Times New Roman"/>
        <family val="1"/>
      </rPr>
      <t>*56</t>
    </r>
    <r>
      <rPr>
        <sz val="12"/>
        <rFont val="宋体"/>
        <family val="3"/>
        <charset val="134"/>
      </rPr>
      <t>天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</si>
  <si>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次，给药后每周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  <phoneticPr fontId="54" type="noConversion"/>
  </si>
  <si>
    <r>
      <rPr>
        <sz val="12"/>
        <color rgb="FF000000"/>
        <rFont val="宋体"/>
        <family val="3"/>
        <charset val="134"/>
      </rPr>
      <t>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*2</t>
    </r>
    <r>
      <rPr>
        <sz val="12"/>
        <color rgb="FF000000"/>
        <rFont val="宋体"/>
        <family val="3"/>
        <charset val="134"/>
      </rPr>
      <t>次</t>
    </r>
    <r>
      <rPr>
        <sz val="12"/>
        <color rgb="FF000000"/>
        <rFont val="Times New Roman"/>
        <family val="1"/>
      </rPr>
      <t>+40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周</t>
    </r>
    <r>
      <rPr>
        <sz val="12"/>
        <color rgb="FF000000"/>
        <rFont val="Times New Roman"/>
        <family val="1"/>
      </rPr>
      <t>*40</t>
    </r>
    <r>
      <rPr>
        <sz val="12"/>
        <color rgb="FF000000"/>
        <rFont val="宋体"/>
        <family val="3"/>
        <charset val="134"/>
      </rPr>
      <t>周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周</t>
    </r>
    <r>
      <rPr>
        <sz val="12"/>
        <color rgb="FF000000"/>
        <rFont val="Times New Roman"/>
        <family val="1"/>
      </rPr>
      <t>*8</t>
    </r>
    <r>
      <rPr>
        <sz val="12"/>
        <color rgb="FF000000"/>
        <rFont val="宋体"/>
        <family val="3"/>
        <charset val="134"/>
      </rPr>
      <t>周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</si>
  <si>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次、首次药后、给药中期、给药期结束、恢复期结束各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</si>
  <si>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给药前：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*2</t>
    </r>
    <r>
      <rPr>
        <sz val="12"/>
        <color rgb="FF000000"/>
        <rFont val="宋体"/>
        <family val="3"/>
        <charset val="134"/>
      </rPr>
      <t>次
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*3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</si>
  <si>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首次给药前，给药期结束和恢复期结束前各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</si>
  <si>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给药前：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
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</si>
  <si>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</rPr>
      <t>次，给药期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次、恢复期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</si>
  <si>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给药前：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*2</t>
    </r>
    <r>
      <rPr>
        <sz val="12"/>
        <color rgb="FF000000"/>
        <rFont val="宋体"/>
        <family val="3"/>
        <charset val="134"/>
      </rPr>
      <t>次
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*4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</si>
  <si>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首次给药前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次，给药期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次、恢复期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</si>
  <si>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给药前：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
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*4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</si>
  <si>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t>EGG</t>
    </r>
    <r>
      <rPr>
        <sz val="12"/>
        <color theme="1"/>
        <rFont val="宋体"/>
        <family val="3"/>
        <charset val="134"/>
      </rPr>
      <t>和血压</t>
    </r>
  </si>
  <si>
    <r>
      <rPr>
        <sz val="12"/>
        <color theme="1"/>
        <rFont val="宋体"/>
        <family val="3"/>
        <charset val="134"/>
      </rPr>
      <t>心电肢体</t>
    </r>
    <r>
      <rPr>
        <sz val="12"/>
        <color theme="1"/>
        <rFont val="Times New Roman"/>
        <family val="1"/>
      </rPr>
      <t xml:space="preserve"> II </t>
    </r>
    <r>
      <rPr>
        <sz val="12"/>
        <color theme="1"/>
        <rFont val="宋体"/>
        <family val="3"/>
        <charset val="134"/>
      </rPr>
      <t>导联测定，测定心率和血压，观察心电图波形，</t>
    </r>
    <r>
      <rPr>
        <sz val="12"/>
        <color theme="1"/>
        <rFont val="Times New Roman"/>
        <family val="1"/>
      </rPr>
      <t xml:space="preserve">P-R </t>
    </r>
    <r>
      <rPr>
        <sz val="12"/>
        <color theme="1"/>
        <rFont val="宋体"/>
        <family val="3"/>
        <charset val="134"/>
      </rPr>
      <t>间期，</t>
    </r>
    <r>
      <rPr>
        <sz val="12"/>
        <color theme="1"/>
        <rFont val="Times New Roman"/>
        <family val="1"/>
      </rPr>
      <t xml:space="preserve">QT </t>
    </r>
    <r>
      <rPr>
        <sz val="12"/>
        <color theme="1"/>
        <rFont val="宋体"/>
        <family val="3"/>
        <charset val="134"/>
      </rPr>
      <t>间期，</t>
    </r>
    <r>
      <rPr>
        <sz val="12"/>
        <color theme="1"/>
        <rFont val="Times New Roman"/>
        <family val="1"/>
      </rPr>
      <t xml:space="preserve">QRS </t>
    </r>
    <r>
      <rPr>
        <sz val="12"/>
        <color theme="1"/>
        <rFont val="宋体"/>
        <family val="3"/>
        <charset val="134"/>
      </rPr>
      <t>时限。计算</t>
    </r>
    <r>
      <rPr>
        <sz val="12"/>
        <color theme="1"/>
        <rFont val="Times New Roman"/>
        <family val="1"/>
      </rPr>
      <t xml:space="preserve"> QTc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QTc = QT/(60/HR)1/2</t>
    </r>
    <r>
      <rPr>
        <sz val="12"/>
        <color theme="1"/>
        <rFont val="宋体"/>
        <family val="3"/>
        <charset val="134"/>
      </rPr>
      <t>）；
血压包括舒张压（</t>
    </r>
    <r>
      <rPr>
        <sz val="12"/>
        <color theme="1"/>
        <rFont val="Times New Roman"/>
        <family val="1"/>
      </rPr>
      <t>DBP</t>
    </r>
    <r>
      <rPr>
        <sz val="12"/>
        <color theme="1"/>
        <rFont val="宋体"/>
        <family val="3"/>
        <charset val="134"/>
      </rPr>
      <t>），收缩压（</t>
    </r>
    <r>
      <rPr>
        <sz val="12"/>
        <color theme="1"/>
        <rFont val="Times New Roman"/>
        <family val="1"/>
      </rPr>
      <t>SBP</t>
    </r>
    <r>
      <rPr>
        <sz val="12"/>
        <color theme="1"/>
        <rFont val="宋体"/>
        <family val="3"/>
        <charset val="134"/>
      </rPr>
      <t>），平均动脉压（</t>
    </r>
    <r>
      <rPr>
        <sz val="12"/>
        <color theme="1"/>
        <rFont val="Times New Roman"/>
        <family val="1"/>
      </rPr>
      <t>MBP</t>
    </r>
    <r>
      <rPr>
        <sz val="12"/>
        <color theme="1"/>
        <rFont val="宋体"/>
        <family val="3"/>
        <charset val="134"/>
      </rPr>
      <t>）等</t>
    </r>
    <r>
      <rPr>
        <sz val="12"/>
        <color theme="1"/>
        <rFont val="Times New Roman"/>
        <family val="1"/>
      </rPr>
      <t xml:space="preserve">;
</t>
    </r>
    <r>
      <rPr>
        <sz val="12"/>
        <color theme="1"/>
        <rFont val="宋体"/>
        <family val="3"/>
        <charset val="134"/>
      </rPr>
      <t>测定时间：给药前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次，给药期间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次，给药期结束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次、恢复期结束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</si>
  <si>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给药前：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
给药期：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*3</t>
    </r>
    <r>
      <rPr>
        <sz val="12"/>
        <color rgb="FF000000"/>
        <rFont val="宋体"/>
        <family val="3"/>
        <charset val="134"/>
      </rPr>
      <t>次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</si>
  <si>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心血管、呼吸、中枢神经安全药理</t>
    </r>
  </si>
  <si>
    <r>
      <rPr>
        <sz val="12"/>
        <rFont val="宋体"/>
        <family val="3"/>
        <charset val="134"/>
      </rPr>
      <t>组别和动物数：阴性对照组，供试品低、中、高剂量组；每组不低于</t>
    </r>
    <r>
      <rPr>
        <sz val="12"/>
        <rFont val="Times New Roman"/>
        <family val="1"/>
      </rPr>
      <t>6</t>
    </r>
    <r>
      <rPr>
        <sz val="12"/>
        <rFont val="宋体"/>
        <family val="3"/>
        <charset val="134"/>
      </rPr>
      <t>只（雌雄各半），合计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组不低于</t>
    </r>
    <r>
      <rPr>
        <sz val="12"/>
        <rFont val="Times New Roman"/>
        <family val="1"/>
      </rPr>
      <t>24</t>
    </r>
    <r>
      <rPr>
        <sz val="12"/>
        <rFont val="宋体"/>
        <family val="3"/>
        <charset val="134"/>
      </rPr>
      <t>只动物。
评价指标：</t>
    </r>
    <r>
      <rPr>
        <sz val="12"/>
        <rFont val="Times New Roman"/>
        <family val="1"/>
      </rPr>
      <t>EMKA</t>
    </r>
    <r>
      <rPr>
        <sz val="12"/>
        <rFont val="宋体"/>
        <family val="3"/>
        <charset val="134"/>
      </rPr>
      <t>系统，测定呼吸频率、潮气量、心率、心电图波形，</t>
    </r>
    <r>
      <rPr>
        <sz val="12"/>
        <rFont val="Times New Roman"/>
        <family val="1"/>
      </rPr>
      <t xml:space="preserve">P-R </t>
    </r>
    <r>
      <rPr>
        <sz val="12"/>
        <rFont val="宋体"/>
        <family val="3"/>
        <charset val="134"/>
      </rPr>
      <t>间期，</t>
    </r>
    <r>
      <rPr>
        <sz val="12"/>
        <rFont val="Times New Roman"/>
        <family val="1"/>
      </rPr>
      <t xml:space="preserve">QT </t>
    </r>
    <r>
      <rPr>
        <sz val="12"/>
        <rFont val="宋体"/>
        <family val="3"/>
        <charset val="134"/>
      </rPr>
      <t>间期，</t>
    </r>
    <r>
      <rPr>
        <sz val="12"/>
        <rFont val="Times New Roman"/>
        <family val="1"/>
      </rPr>
      <t xml:space="preserve">QRS </t>
    </r>
    <r>
      <rPr>
        <sz val="12"/>
        <rFont val="宋体"/>
        <family val="3"/>
        <charset val="134"/>
      </rPr>
      <t>时限、血压及中枢神经系统相关指标。
测定时间：首次药前和药后</t>
    </r>
    <r>
      <rPr>
        <sz val="12"/>
        <rFont val="Times New Roman"/>
        <family val="1"/>
      </rPr>
      <t>5-7</t>
    </r>
    <r>
      <rPr>
        <sz val="12"/>
        <rFont val="宋体"/>
        <family val="3"/>
        <charset val="134"/>
      </rPr>
      <t>个时间点，恢复期末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个点，不低于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性别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组。
数据分析</t>
    </r>
  </si>
  <si>
    <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
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D1</t>
    </r>
    <r>
      <rPr>
        <sz val="12"/>
        <color theme="1"/>
        <rFont val="宋体"/>
        <family val="3"/>
        <charset val="134"/>
      </rPr>
      <t>）、</t>
    </r>
    <r>
      <rPr>
        <sz val="12"/>
        <color theme="1"/>
        <rFont val="Times New Roman"/>
        <family val="1"/>
      </rPr>
      <t>7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D169</t>
    </r>
    <r>
      <rPr>
        <sz val="12"/>
        <color theme="1"/>
        <rFont val="宋体"/>
        <family val="3"/>
        <charset val="134"/>
      </rPr>
      <t>）、</t>
    </r>
    <r>
      <rPr>
        <sz val="12"/>
        <color theme="1"/>
        <rFont val="Times New Roman"/>
        <family val="1"/>
      </rPr>
      <t>11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D281</t>
    </r>
    <r>
      <rPr>
        <sz val="12"/>
        <color theme="1"/>
        <rFont val="宋体"/>
        <family val="3"/>
        <charset val="134"/>
      </rPr>
      <t>）次给药前、药后</t>
    </r>
    <r>
      <rPr>
        <sz val="12"/>
        <color theme="1"/>
        <rFont val="Times New Roman"/>
        <family val="1"/>
      </rPr>
      <t>0.5h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1h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4h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6h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9h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12h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24h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36h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48h</t>
    </r>
    <r>
      <rPr>
        <sz val="12"/>
        <color theme="1"/>
        <rFont val="宋体"/>
        <family val="3"/>
        <charset val="134"/>
      </rPr>
      <t>共</t>
    </r>
    <r>
      <rPr>
        <sz val="12"/>
        <color theme="1"/>
        <rFont val="Times New Roman"/>
        <family val="1"/>
      </rPr>
      <t>11</t>
    </r>
    <r>
      <rPr>
        <sz val="12"/>
        <color theme="1"/>
        <rFont val="宋体"/>
        <family val="3"/>
        <charset val="134"/>
      </rPr>
      <t>个点（暂定），第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次给药前、药后</t>
    </r>
    <r>
      <rPr>
        <sz val="12"/>
        <color theme="1"/>
        <rFont val="Times New Roman"/>
        <family val="1"/>
      </rPr>
      <t>4h</t>
    </r>
    <r>
      <rPr>
        <sz val="12"/>
        <color theme="1"/>
        <rFont val="宋体"/>
        <family val="3"/>
        <charset val="134"/>
      </rPr>
      <t>点；对照组采集给药前、给药后</t>
    </r>
    <r>
      <rPr>
        <sz val="12"/>
        <color theme="1"/>
        <rFont val="Times New Roman"/>
        <family val="1"/>
      </rPr>
      <t>4h</t>
    </r>
    <r>
      <rPr>
        <sz val="12"/>
        <color theme="1"/>
        <rFont val="宋体"/>
        <family val="3"/>
        <charset val="134"/>
      </rPr>
      <t>点【共计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个周期】</t>
    </r>
  </si>
  <si>
    <r>
      <rPr>
        <sz val="12"/>
        <rFont val="宋体"/>
        <family val="3"/>
        <charset val="134"/>
      </rPr>
      <t>对照组：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周期
供试品组：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*11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周期</t>
    </r>
    <r>
      <rPr>
        <sz val="12"/>
        <rFont val="Times New Roman"/>
        <family val="1"/>
      </rPr>
      <t>+10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点</t>
    </r>
  </si>
  <si>
    <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
给药期结束和恢复期结束解剖各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个时间点。</t>
    </r>
  </si>
  <si>
    <r>
      <rPr>
        <sz val="12"/>
        <rFont val="宋体"/>
        <family val="3"/>
        <charset val="134"/>
      </rPr>
      <t>给药期末：</t>
    </r>
    <r>
      <rPr>
        <sz val="12"/>
        <rFont val="Times New Roman"/>
        <family val="1"/>
      </rPr>
      <t>24</t>
    </r>
    <r>
      <rPr>
        <sz val="12"/>
        <rFont val="宋体"/>
        <family val="3"/>
        <charset val="134"/>
      </rPr>
      <t>只
恢复期末：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只</t>
    </r>
  </si>
  <si>
    <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
给药期结束和恢复期结束解剖各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个时间点；
采集备测</t>
    </r>
  </si>
  <si>
    <r>
      <rPr>
        <sz val="12"/>
        <rFont val="宋体"/>
        <family val="3"/>
        <charset val="134"/>
      </rPr>
      <t>对照组：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周期
供试品组：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*11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周期</t>
    </r>
    <r>
      <rPr>
        <sz val="12"/>
        <rFont val="Times New Roman"/>
        <family val="1"/>
      </rPr>
      <t>+10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 xml:space="preserve">点
</t>
    </r>
    <r>
      <rPr>
        <sz val="12"/>
        <rFont val="Times New Roman"/>
        <family val="1"/>
      </rPr>
      <t>10%ISR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1110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 xml:space="preserve">*10%
</t>
    </r>
    <r>
      <rPr>
        <b/>
        <sz val="12"/>
        <color rgb="FFFF0000"/>
        <rFont val="宋体"/>
        <family val="3"/>
        <charset val="134"/>
      </rPr>
      <t>请报单个代谢产物检测单价：</t>
    </r>
  </si>
  <si>
    <r>
      <rPr>
        <sz val="12"/>
        <rFont val="宋体"/>
        <family val="3"/>
        <charset val="134"/>
      </rPr>
      <t>给药期末：</t>
    </r>
    <r>
      <rPr>
        <sz val="12"/>
        <rFont val="Times New Roman"/>
        <family val="1"/>
      </rPr>
      <t>24</t>
    </r>
    <r>
      <rPr>
        <sz val="12"/>
        <rFont val="宋体"/>
        <family val="3"/>
        <charset val="134"/>
      </rPr>
      <t>只
恢复期末：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 xml:space="preserve">只
</t>
    </r>
    <r>
      <rPr>
        <sz val="12"/>
        <rFont val="Times New Roman"/>
        <family val="1"/>
      </rPr>
      <t>10%ISR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 xml:space="preserve">40*10%
</t>
    </r>
    <r>
      <rPr>
        <b/>
        <sz val="12"/>
        <color rgb="FFFF0000"/>
        <rFont val="宋体"/>
        <family val="3"/>
        <charset val="134"/>
      </rPr>
      <t>请报单个代谢产物检测单价：</t>
    </r>
  </si>
  <si>
    <r>
      <rPr>
        <b/>
        <sz val="12"/>
        <rFont val="宋体"/>
        <family val="3"/>
        <charset val="134"/>
      </rPr>
      <t>血清：</t>
    </r>
    <r>
      <rPr>
        <sz val="12"/>
        <rFont val="Times New Roman"/>
        <family val="1"/>
      </rPr>
      <t>D1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D29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D85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D169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D225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D281</t>
    </r>
    <r>
      <rPr>
        <sz val="12"/>
        <rFont val="宋体"/>
        <family val="3"/>
        <charset val="134"/>
      </rPr>
      <t>药前、恢复期中期和恢复期末，进行</t>
    </r>
    <r>
      <rPr>
        <sz val="12"/>
        <rFont val="Times New Roman"/>
        <family val="1"/>
      </rPr>
      <t>ADA</t>
    </r>
    <r>
      <rPr>
        <sz val="12"/>
        <rFont val="宋体"/>
        <family val="3"/>
        <charset val="134"/>
      </rPr>
      <t>检测样本采集；</t>
    </r>
  </si>
  <si>
    <r>
      <rPr>
        <sz val="12"/>
        <rFont val="宋体"/>
        <family val="3"/>
        <charset val="134"/>
      </rPr>
      <t>给药期：</t>
    </r>
    <r>
      <rPr>
        <sz val="12"/>
        <rFont val="Times New Roman"/>
        <family val="1"/>
      </rPr>
      <t>40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 xml:space="preserve">*6
</t>
    </r>
    <r>
      <rPr>
        <sz val="12"/>
        <rFont val="宋体"/>
        <family val="3"/>
        <charset val="134"/>
      </rPr>
      <t>恢复期：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</si>
  <si>
    <r>
      <rPr>
        <b/>
        <sz val="12"/>
        <color theme="1"/>
        <rFont val="Times New Roman"/>
        <family val="1"/>
      </rPr>
      <t>ELISA</t>
    </r>
    <r>
      <rPr>
        <b/>
        <sz val="12"/>
        <color theme="1"/>
        <rFont val="宋体"/>
        <family val="3"/>
        <charset val="134"/>
      </rPr>
      <t>方法：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个剂量组】，样本筛选，共计</t>
    </r>
    <r>
      <rPr>
        <sz val="12"/>
        <color theme="1"/>
        <rFont val="Times New Roman"/>
        <family val="1"/>
      </rPr>
      <t>272</t>
    </r>
    <r>
      <rPr>
        <sz val="12"/>
        <color theme="1"/>
        <rFont val="宋体"/>
        <family val="3"/>
        <charset val="134"/>
      </rPr>
      <t>个</t>
    </r>
  </si>
  <si>
    <r>
      <rPr>
        <sz val="12"/>
        <rFont val="宋体"/>
        <family val="3"/>
        <charset val="134"/>
      </rPr>
      <t>样本筛选：</t>
    </r>
    <r>
      <rPr>
        <sz val="12"/>
        <rFont val="Times New Roman"/>
        <family val="1"/>
      </rPr>
      <t>272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方法筛选单价；</t>
    </r>
  </si>
  <si>
    <r>
      <rPr>
        <sz val="12"/>
        <rFont val="宋体"/>
        <family val="3"/>
        <charset val="134"/>
      </rPr>
      <t>样本确证：</t>
    </r>
    <r>
      <rPr>
        <sz val="12"/>
        <rFont val="Times New Roman"/>
        <family val="1"/>
      </rPr>
      <t>272*50%=136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方法确证单价；</t>
    </r>
  </si>
  <si>
    <r>
      <rPr>
        <sz val="12"/>
        <rFont val="宋体"/>
        <family val="3"/>
        <charset val="134"/>
      </rPr>
      <t>首次给药前、给药期间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次、恢复结束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</si>
  <si>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首次给药前、给药期间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次、恢复结束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</rPr>
      <t>次</t>
    </r>
  </si>
  <si>
    <r>
      <rPr>
        <sz val="12"/>
        <color rgb="FF000000"/>
        <rFont val="宋体"/>
        <family val="3"/>
        <charset val="134"/>
      </rPr>
      <t>给药期：</t>
    </r>
    <r>
      <rPr>
        <sz val="12"/>
        <color rgb="FF000000"/>
        <rFont val="Times New Roman"/>
        <family val="1"/>
      </rPr>
      <t>24</t>
    </r>
    <r>
      <rPr>
        <sz val="12"/>
        <color rgb="FF000000"/>
        <rFont val="宋体"/>
        <family val="3"/>
        <charset val="134"/>
      </rPr>
      <t>只
恢复期：</t>
    </r>
    <r>
      <rPr>
        <sz val="12"/>
        <color rgb="FF000000"/>
        <rFont val="Times New Roman"/>
        <family val="1"/>
      </rPr>
      <t>16</t>
    </r>
    <r>
      <rPr>
        <sz val="12"/>
        <color rgb="FF000000"/>
        <rFont val="宋体"/>
        <family val="3"/>
        <charset val="134"/>
      </rPr>
      <t>只</t>
    </r>
  </si>
  <si>
    <r>
      <t>40</t>
    </r>
    <r>
      <rPr>
        <sz val="12"/>
        <color rgb="FF000000"/>
        <rFont val="宋体"/>
        <family val="3"/>
        <charset val="134"/>
      </rPr>
      <t>只</t>
    </r>
  </si>
  <si>
    <r>
      <t>4</t>
    </r>
    <r>
      <rPr>
        <sz val="12"/>
        <color rgb="FF000000"/>
        <rFont val="宋体"/>
        <family val="3"/>
        <charset val="134"/>
      </rPr>
      <t>组【对照组</t>
    </r>
    <r>
      <rPr>
        <sz val="12"/>
        <color rgb="FF000000"/>
        <rFont val="Times New Roman"/>
        <family val="1"/>
      </rPr>
      <t>+3</t>
    </r>
    <r>
      <rPr>
        <sz val="12"/>
        <color rgb="FF000000"/>
        <rFont val="宋体"/>
        <family val="3"/>
        <charset val="134"/>
      </rPr>
      <t>个剂量组】动物所有脏器组织病理学检查【共计</t>
    </r>
    <r>
      <rPr>
        <sz val="12"/>
        <color rgb="FF000000"/>
        <rFont val="Times New Roman"/>
        <family val="1"/>
      </rPr>
      <t>1800</t>
    </r>
    <r>
      <rPr>
        <sz val="12"/>
        <color rgb="FF000000"/>
        <rFont val="宋体"/>
        <family val="3"/>
        <charset val="134"/>
      </rPr>
      <t>张片子】</t>
    </r>
  </si>
  <si>
    <r>
      <rPr>
        <sz val="12"/>
        <color theme="1"/>
        <rFont val="宋体"/>
        <family val="3"/>
        <charset val="134"/>
      </rPr>
      <t>个脏器</t>
    </r>
  </si>
  <si>
    <r>
      <t>45</t>
    </r>
    <r>
      <rPr>
        <sz val="12"/>
        <color rgb="FF000000"/>
        <rFont val="宋体"/>
        <family val="3"/>
        <charset val="134"/>
      </rPr>
      <t>个脏器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*40</t>
    </r>
    <r>
      <rPr>
        <sz val="12"/>
        <color rgb="FF000000"/>
        <rFont val="宋体"/>
        <family val="3"/>
        <charset val="134"/>
      </rPr>
      <t>只</t>
    </r>
  </si>
  <si>
    <r>
      <rPr>
        <sz val="12"/>
        <rFont val="宋体"/>
        <family val="3"/>
        <charset val="134"/>
      </rPr>
      <t>同行评议</t>
    </r>
  </si>
  <si>
    <r>
      <rPr>
        <sz val="12"/>
        <rFont val="宋体"/>
        <family val="3"/>
        <charset val="134"/>
      </rPr>
      <t>具有</t>
    </r>
    <r>
      <rPr>
        <sz val="12"/>
        <rFont val="Times New Roman"/>
        <family val="1"/>
      </rPr>
      <t>ACVP</t>
    </r>
    <r>
      <rPr>
        <sz val="12"/>
        <rFont val="宋体"/>
        <family val="3"/>
        <charset val="134"/>
      </rPr>
      <t>资质的病理学家</t>
    </r>
  </si>
  <si>
    <r>
      <rPr>
        <sz val="12"/>
        <rFont val="宋体"/>
        <family val="3"/>
        <charset val="134"/>
      </rPr>
      <t>具有</t>
    </r>
    <r>
      <rPr>
        <sz val="12"/>
        <rFont val="Times New Roman"/>
        <family val="1"/>
      </rPr>
      <t>JCVP</t>
    </r>
    <r>
      <rPr>
        <sz val="12"/>
        <rFont val="宋体"/>
        <family val="3"/>
        <charset val="134"/>
      </rPr>
      <t>资质的病理学家</t>
    </r>
  </si>
  <si>
    <r>
      <rPr>
        <b/>
        <sz val="12"/>
        <rFont val="宋体"/>
        <family val="3"/>
        <charset val="134"/>
      </rPr>
      <t>大鼠Ⅰ段生殖毒性试验（</t>
    </r>
    <r>
      <rPr>
        <b/>
        <sz val="12"/>
        <rFont val="Times New Roman"/>
        <family val="1"/>
      </rPr>
      <t>GLP</t>
    </r>
    <r>
      <rPr>
        <b/>
        <sz val="12"/>
        <rFont val="宋体"/>
        <family val="3"/>
        <charset val="134"/>
      </rPr>
      <t>）</t>
    </r>
  </si>
  <si>
    <r>
      <rPr>
        <sz val="12"/>
        <rFont val="宋体"/>
        <family val="3"/>
        <charset val="134"/>
      </rPr>
      <t>研究系统</t>
    </r>
  </si>
  <si>
    <r>
      <rPr>
        <sz val="12"/>
        <rFont val="宋体"/>
        <family val="3"/>
        <charset val="134"/>
      </rPr>
      <t>种属</t>
    </r>
  </si>
  <si>
    <r>
      <t>SD</t>
    </r>
    <r>
      <rPr>
        <sz val="12"/>
        <rFont val="宋体"/>
        <family val="3"/>
        <charset val="134"/>
      </rPr>
      <t>大鼠</t>
    </r>
    <r>
      <rPr>
        <b/>
        <sz val="12"/>
        <rFont val="宋体"/>
        <family val="3"/>
        <charset val="134"/>
      </rPr>
      <t>（北京维通利华）</t>
    </r>
  </si>
  <si>
    <r>
      <rPr>
        <sz val="12"/>
        <rFont val="宋体"/>
        <family val="3"/>
        <charset val="134"/>
      </rPr>
      <t>包含包装费和运输费
动物数量需根据指导原则和试验目的要求，满足胚胎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胎仔发育毒性评估要求，请根据贵机构实际试验情况填写</t>
    </r>
  </si>
  <si>
    <r>
      <rPr>
        <sz val="12"/>
        <rFont val="宋体"/>
        <family val="3"/>
        <charset val="134"/>
      </rPr>
      <t>年龄</t>
    </r>
  </si>
  <si>
    <r>
      <t>8~14</t>
    </r>
    <r>
      <rPr>
        <sz val="12"/>
        <color theme="1"/>
        <rFont val="宋体"/>
        <family val="3"/>
        <charset val="134"/>
      </rPr>
      <t>周龄（交配时）</t>
    </r>
  </si>
  <si>
    <r>
      <rPr>
        <sz val="12"/>
        <rFont val="宋体"/>
        <family val="3"/>
        <charset val="134"/>
      </rPr>
      <t>数量</t>
    </r>
  </si>
  <si>
    <r>
      <rPr>
        <sz val="12"/>
        <rFont val="宋体"/>
        <family val="3"/>
        <charset val="134"/>
      </rPr>
      <t>合计</t>
    </r>
    <r>
      <rPr>
        <sz val="12"/>
        <rFont val="Times New Roman"/>
        <family val="1"/>
      </rPr>
      <t>250</t>
    </r>
    <r>
      <rPr>
        <sz val="12"/>
        <rFont val="宋体"/>
        <family val="3"/>
        <charset val="134"/>
      </rPr>
      <t>只交配成功鼠，雌雄各半；
主试验组：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个剂量组】，每组至少</t>
    </r>
    <r>
      <rPr>
        <sz val="12"/>
        <rFont val="Times New Roman"/>
        <family val="1"/>
      </rPr>
      <t>25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性别（不少于</t>
    </r>
    <r>
      <rPr>
        <sz val="12"/>
        <rFont val="Times New Roman"/>
        <family val="1"/>
      </rPr>
      <t>20</t>
    </r>
    <r>
      <rPr>
        <sz val="12"/>
        <rFont val="宋体"/>
        <family val="3"/>
        <charset val="134"/>
      </rPr>
      <t>只孕鼠）</t>
    </r>
  </si>
  <si>
    <r>
      <rPr>
        <sz val="12"/>
        <rFont val="宋体"/>
        <family val="3"/>
        <charset val="134"/>
      </rPr>
      <t>动物饲养费用</t>
    </r>
  </si>
  <si>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</si>
  <si>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因涉及交配周期，
以（交配期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妊娠期）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动物数量估算；</t>
    </r>
  </si>
  <si>
    <r>
      <rPr>
        <sz val="12"/>
        <rFont val="宋体"/>
        <family val="3"/>
        <charset val="134"/>
      </rPr>
      <t>动物给药</t>
    </r>
  </si>
  <si>
    <r>
      <rPr>
        <sz val="12"/>
        <rFont val="宋体"/>
        <family val="3"/>
        <charset val="134"/>
      </rPr>
      <t>给药途径</t>
    </r>
  </si>
  <si>
    <r>
      <rPr>
        <sz val="12"/>
        <rFont val="宋体"/>
        <family val="3"/>
        <charset val="134"/>
      </rPr>
      <t>以实际动物数量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给药次数计算</t>
    </r>
  </si>
  <si>
    <r>
      <rPr>
        <sz val="12"/>
        <rFont val="宋体"/>
        <family val="3"/>
        <charset val="134"/>
      </rPr>
      <t>♂：交配前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周（暂定）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交配期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周
♀：交配前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交配期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周</t>
    </r>
    <r>
      <rPr>
        <sz val="12"/>
        <rFont val="Times New Roman"/>
        <family val="1"/>
      </rPr>
      <t>+GD6/7</t>
    </r>
  </si>
  <si>
    <r>
      <rPr>
        <sz val="12"/>
        <rFont val="宋体"/>
        <family val="3"/>
        <charset val="134"/>
      </rPr>
      <t>频次</t>
    </r>
  </si>
  <si>
    <r>
      <t>QW*5</t>
    </r>
    <r>
      <rPr>
        <sz val="12"/>
        <rFont val="宋体"/>
        <family val="3"/>
        <charset val="134"/>
      </rPr>
      <t>（雌性）</t>
    </r>
    <r>
      <rPr>
        <sz val="12"/>
        <rFont val="Times New Roman"/>
        <family val="1"/>
      </rPr>
      <t>/7</t>
    </r>
    <r>
      <rPr>
        <sz val="12"/>
        <rFont val="宋体"/>
        <family val="3"/>
        <charset val="134"/>
      </rPr>
      <t>（雄性）（暂定）</t>
    </r>
  </si>
  <si>
    <r>
      <rPr>
        <sz val="12"/>
        <rFont val="宋体"/>
        <family val="3"/>
        <charset val="134"/>
      </rPr>
      <t>供试品制剂</t>
    </r>
  </si>
  <si>
    <r>
      <rPr>
        <sz val="12"/>
        <rFont val="宋体"/>
        <family val="3"/>
        <charset val="134"/>
      </rPr>
      <t>制剂配制</t>
    </r>
  </si>
  <si>
    <r>
      <rPr>
        <sz val="12"/>
        <rFont val="宋体"/>
        <family val="3"/>
        <charset val="134"/>
      </rPr>
      <t>每周配制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次（暂定）；</t>
    </r>
  </si>
  <si>
    <r>
      <t>7</t>
    </r>
    <r>
      <rPr>
        <sz val="12"/>
        <rFont val="宋体"/>
        <family val="3"/>
        <charset val="134"/>
      </rPr>
      <t>次</t>
    </r>
  </si>
  <si>
    <r>
      <rPr>
        <sz val="12"/>
        <rFont val="宋体"/>
        <family val="3"/>
        <charset val="134"/>
      </rPr>
      <t>制剂分析</t>
    </r>
  </si>
  <si>
    <r>
      <rPr>
        <sz val="12"/>
        <rFont val="宋体"/>
        <family val="3"/>
        <charset val="134"/>
      </rPr>
      <t>首末次给药制剂分析；</t>
    </r>
  </si>
  <si>
    <r>
      <rPr>
        <sz val="12"/>
        <rFont val="宋体"/>
        <family val="3"/>
        <charset val="134"/>
      </rPr>
      <t>首次、末次，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次</t>
    </r>
  </si>
  <si>
    <r>
      <rPr>
        <sz val="12"/>
        <rFont val="宋体"/>
        <family val="3"/>
        <charset val="134"/>
      </rPr>
      <t>常规检测指标</t>
    </r>
  </si>
  <si>
    <r>
      <rPr>
        <sz val="12"/>
        <rFont val="宋体"/>
        <family val="3"/>
        <charset val="134"/>
      </rPr>
      <t>临床观察</t>
    </r>
  </si>
  <si>
    <r>
      <rPr>
        <sz val="12"/>
        <rFont val="宋体"/>
        <family val="3"/>
        <charset val="134"/>
      </rPr>
      <t>包括流产观察；以动物数量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观察天数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观察频率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天计</t>
    </r>
  </si>
  <si>
    <r>
      <rPr>
        <sz val="12"/>
        <rFont val="宋体"/>
        <family val="3"/>
        <charset val="134"/>
      </rPr>
      <t>详细观察：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</si>
  <si>
    <r>
      <rPr>
        <sz val="12"/>
        <rFont val="宋体"/>
        <family val="3"/>
        <charset val="134"/>
      </rPr>
      <t>以动物数量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观察周数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观察频率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周计</t>
    </r>
  </si>
  <si>
    <r>
      <rPr>
        <sz val="12"/>
        <rFont val="宋体"/>
        <family val="3"/>
        <charset val="134"/>
      </rPr>
      <t>摄食情况</t>
    </r>
  </si>
  <si>
    <r>
      <t>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周（交配期除外）</t>
    </r>
  </si>
  <si>
    <r>
      <rPr>
        <sz val="12"/>
        <rFont val="宋体"/>
        <family val="3"/>
        <charset val="134"/>
      </rPr>
      <t>体重</t>
    </r>
  </si>
  <si>
    <r>
      <t>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周</t>
    </r>
  </si>
  <si>
    <r>
      <rPr>
        <sz val="12"/>
        <rFont val="宋体"/>
        <family val="3"/>
        <charset val="134"/>
      </rPr>
      <t>动情周期评价</t>
    </r>
  </si>
  <si>
    <r>
      <t>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天，从合笼前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周开始，直至确认交配</t>
    </r>
  </si>
  <si>
    <r>
      <rPr>
        <sz val="12"/>
        <rFont val="宋体"/>
        <family val="3"/>
        <charset val="134"/>
      </rPr>
      <t>以动物数量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观察天数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观察频率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天计</t>
    </r>
  </si>
  <si>
    <r>
      <rPr>
        <sz val="12"/>
        <rFont val="宋体"/>
        <family val="3"/>
        <charset val="134"/>
      </rPr>
      <t>阴道涂片检查</t>
    </r>
  </si>
  <si>
    <r>
      <rPr>
        <sz val="12"/>
        <rFont val="宋体"/>
        <family val="3"/>
        <charset val="134"/>
      </rPr>
      <t>交配期，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</si>
  <si>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雄性剖检</t>
    </r>
  </si>
  <si>
    <r>
      <rPr>
        <sz val="12"/>
        <rFont val="宋体"/>
        <family val="3"/>
        <charset val="134"/>
      </rPr>
      <t>主要脏器大体观察，并保留睾丸、附睾以及异常脏器</t>
    </r>
  </si>
  <si>
    <r>
      <rPr>
        <sz val="12"/>
        <rFont val="宋体"/>
        <family val="3"/>
        <charset val="134"/>
      </rPr>
      <t>以实际雄性动物数量为准</t>
    </r>
  </si>
  <si>
    <r>
      <rPr>
        <sz val="12"/>
        <rFont val="宋体"/>
        <family val="3"/>
        <charset val="134"/>
      </rPr>
      <t>精子分析</t>
    </r>
  </si>
  <si>
    <r>
      <rPr>
        <sz val="12"/>
        <rFont val="宋体"/>
        <family val="3"/>
        <charset val="134"/>
      </rPr>
      <t>雌性剖检</t>
    </r>
  </si>
  <si>
    <r>
      <rPr>
        <sz val="12"/>
        <rFont val="宋体"/>
        <family val="3"/>
        <charset val="134"/>
      </rPr>
      <t>主要脏器大体观察，并保留卵巢、子宫以及异常脏器</t>
    </r>
  </si>
  <si>
    <r>
      <rPr>
        <sz val="12"/>
        <rFont val="宋体"/>
        <family val="3"/>
        <charset val="134"/>
      </rPr>
      <t>以实际母体动物数量为准</t>
    </r>
  </si>
  <si>
    <r>
      <rPr>
        <sz val="12"/>
        <rFont val="宋体"/>
        <family val="3"/>
        <charset val="134"/>
      </rPr>
      <t>计划剖宫产</t>
    </r>
  </si>
  <si>
    <r>
      <rPr>
        <sz val="12"/>
        <rFont val="宋体"/>
        <family val="3"/>
        <charset val="134"/>
      </rPr>
      <t>妊娠中期剖宫产，检查黄体数，活胎、死胎、吸收胎并计算着床数等</t>
    </r>
  </si>
  <si>
    <r>
      <rPr>
        <b/>
        <sz val="12"/>
        <rFont val="宋体"/>
        <family val="3"/>
        <charset val="134"/>
      </rPr>
      <t>大鼠Ⅱ段生殖毒性试验</t>
    </r>
    <r>
      <rPr>
        <b/>
        <sz val="12"/>
        <rFont val="Times New Roman"/>
        <family val="1"/>
      </rPr>
      <t>EFD</t>
    </r>
    <r>
      <rPr>
        <b/>
        <sz val="12"/>
        <rFont val="宋体"/>
        <family val="3"/>
        <charset val="134"/>
      </rPr>
      <t>试验（</t>
    </r>
    <r>
      <rPr>
        <b/>
        <sz val="12"/>
        <rFont val="Times New Roman"/>
        <family val="1"/>
      </rPr>
      <t>GLP</t>
    </r>
    <r>
      <rPr>
        <b/>
        <sz val="12"/>
        <rFont val="宋体"/>
        <family val="3"/>
        <charset val="134"/>
      </rPr>
      <t>）</t>
    </r>
  </si>
  <si>
    <r>
      <rPr>
        <sz val="12"/>
        <rFont val="宋体"/>
        <family val="3"/>
        <charset val="134"/>
      </rPr>
      <t>合计</t>
    </r>
    <r>
      <rPr>
        <sz val="12"/>
        <rFont val="Times New Roman"/>
        <family val="1"/>
      </rPr>
      <t>170</t>
    </r>
    <r>
      <rPr>
        <sz val="12"/>
        <rFont val="宋体"/>
        <family val="3"/>
        <charset val="134"/>
      </rPr>
      <t>只交配成功雌鼠；
主试验组：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个剂量组】，每组至少</t>
    </r>
    <r>
      <rPr>
        <sz val="12"/>
        <rFont val="Times New Roman"/>
        <family val="1"/>
      </rPr>
      <t>25</t>
    </r>
    <r>
      <rPr>
        <sz val="12"/>
        <rFont val="宋体"/>
        <family val="3"/>
        <charset val="134"/>
      </rPr>
      <t>只交配成功雌鼠（不少于</t>
    </r>
    <r>
      <rPr>
        <sz val="12"/>
        <rFont val="Times New Roman"/>
        <family val="1"/>
      </rPr>
      <t>20</t>
    </r>
    <r>
      <rPr>
        <sz val="12"/>
        <rFont val="宋体"/>
        <family val="3"/>
        <charset val="134"/>
      </rPr>
      <t xml:space="preserve">只孕鼠）；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组：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个剂量组】，对照组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只成功交配雌鼠（不少于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只孕鼠），供试品每组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只成功交配雌鼠（不少于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只孕鼠）（暂定）；</t>
    </r>
    <r>
      <rPr>
        <sz val="12"/>
        <rFont val="Times New Roman"/>
        <family val="1"/>
      </rPr>
      <t xml:space="preserve"> </t>
    </r>
  </si>
  <si>
    <r>
      <rPr>
        <sz val="12"/>
        <rFont val="宋体"/>
        <family val="3"/>
        <charset val="134"/>
      </rPr>
      <t>以动物数量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给药次数计算</t>
    </r>
  </si>
  <si>
    <r>
      <t>QD*12</t>
    </r>
    <r>
      <rPr>
        <b/>
        <sz val="12"/>
        <color rgb="FF0000FF"/>
        <rFont val="宋体"/>
        <family val="3"/>
        <charset val="134"/>
      </rPr>
      <t>（</t>
    </r>
    <r>
      <rPr>
        <b/>
        <sz val="12"/>
        <color rgb="FF0000FF"/>
        <rFont val="Times New Roman"/>
        <family val="1"/>
      </rPr>
      <t>TBD</t>
    </r>
    <r>
      <rPr>
        <b/>
        <sz val="12"/>
        <color rgb="FF0000FF"/>
        <rFont val="宋体"/>
        <family val="3"/>
        <charset val="134"/>
      </rPr>
      <t>）</t>
    </r>
    <r>
      <rPr>
        <sz val="12"/>
        <rFont val="Times New Roman"/>
        <family val="1"/>
      </rPr>
      <t xml:space="preserve">
TK</t>
    </r>
    <r>
      <rPr>
        <sz val="12"/>
        <rFont val="宋体"/>
        <family val="3"/>
        <charset val="134"/>
      </rPr>
      <t>组：</t>
    </r>
    <r>
      <rPr>
        <sz val="12"/>
        <rFont val="Times New Roman"/>
        <family val="1"/>
      </rPr>
      <t>GD20</t>
    </r>
    <r>
      <rPr>
        <sz val="12"/>
        <rFont val="宋体"/>
        <family val="3"/>
        <charset val="134"/>
      </rPr>
      <t>增加给药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次；</t>
    </r>
  </si>
  <si>
    <r>
      <t>2</t>
    </r>
    <r>
      <rPr>
        <sz val="12"/>
        <rFont val="宋体"/>
        <family val="3"/>
        <charset val="134"/>
      </rPr>
      <t>次</t>
    </r>
  </si>
  <si>
    <r>
      <rPr>
        <sz val="12"/>
        <rFont val="宋体"/>
        <family val="3"/>
        <charset val="134"/>
      </rPr>
      <t>流产、早产、分娩观察</t>
    </r>
  </si>
  <si>
    <r>
      <t>1~2</t>
    </r>
    <r>
      <rPr>
        <sz val="12"/>
        <rFont val="宋体"/>
        <family val="3"/>
        <charset val="134"/>
      </rPr>
      <t>次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天</t>
    </r>
  </si>
  <si>
    <r>
      <rPr>
        <sz val="12"/>
        <rFont val="宋体"/>
        <family val="3"/>
        <charset val="134"/>
      </rPr>
      <t>妊娠期间，每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天一次</t>
    </r>
  </si>
  <si>
    <r>
      <t>F0</t>
    </r>
    <r>
      <rPr>
        <b/>
        <sz val="12"/>
        <rFont val="宋体"/>
        <family val="3"/>
        <charset val="134"/>
      </rPr>
      <t>代</t>
    </r>
  </si>
  <si>
    <r>
      <rPr>
        <b/>
        <sz val="12"/>
        <rFont val="宋体"/>
        <family val="3"/>
        <charset val="134"/>
      </rPr>
      <t>血浆（</t>
    </r>
    <r>
      <rPr>
        <b/>
        <sz val="12"/>
        <rFont val="Times New Roman"/>
        <family val="1"/>
      </rPr>
      <t>TK</t>
    </r>
    <r>
      <rPr>
        <b/>
        <sz val="12"/>
        <rFont val="宋体"/>
        <family val="3"/>
        <charset val="134"/>
      </rPr>
      <t>组）：</t>
    </r>
    <r>
      <rPr>
        <sz val="12"/>
        <rFont val="宋体"/>
        <family val="3"/>
        <charset val="134"/>
      </rPr>
      <t>供试品组</t>
    </r>
    <r>
      <rPr>
        <sz val="12"/>
        <rFont val="Times New Roman"/>
        <family val="1"/>
      </rPr>
      <t>GD6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GD17</t>
    </r>
    <r>
      <rPr>
        <sz val="12"/>
        <rFont val="宋体"/>
        <family val="3"/>
        <charset val="134"/>
      </rPr>
      <t>给药前、药后采集约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个时间点，</t>
    </r>
    <r>
      <rPr>
        <sz val="12"/>
        <rFont val="Times New Roman"/>
        <family val="1"/>
      </rPr>
      <t>GD20</t>
    </r>
    <r>
      <rPr>
        <sz val="12"/>
        <rFont val="宋体"/>
        <family val="3"/>
        <charset val="134"/>
      </rPr>
      <t>采集药后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个点；溶媒对照组</t>
    </r>
    <r>
      <rPr>
        <sz val="12"/>
        <rFont val="Times New Roman"/>
        <family val="1"/>
      </rPr>
      <t>F0</t>
    </r>
    <r>
      <rPr>
        <sz val="12"/>
        <rFont val="宋体"/>
        <family val="3"/>
        <charset val="134"/>
      </rPr>
      <t>代采集给药前、给药后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个时间点；</t>
    </r>
  </si>
  <si>
    <r>
      <t>TK</t>
    </r>
    <r>
      <rPr>
        <sz val="12"/>
        <rFont val="宋体"/>
        <family val="3"/>
        <charset val="134"/>
      </rPr>
      <t>动物数量请以贵单位试验设计计算，需要满足统计学需求；
数量以实际发生为准；</t>
    </r>
  </si>
  <si>
    <r>
      <t>F1</t>
    </r>
    <r>
      <rPr>
        <b/>
        <sz val="12"/>
        <rFont val="宋体"/>
        <family val="3"/>
        <charset val="134"/>
      </rPr>
      <t>代胎仔</t>
    </r>
  </si>
  <si>
    <r>
      <t>TK</t>
    </r>
    <r>
      <rPr>
        <sz val="12"/>
        <rFont val="宋体"/>
        <family val="3"/>
        <charset val="134"/>
      </rPr>
      <t>动物数量请以贵单位试验设计计算，需要满足统计学需求；
血浆样本量：动物数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组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组别数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采血点数量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采血周期；
数量以实际发生为准；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请分别报血浆和组织单个代谢产物检测单价：</t>
    </r>
  </si>
  <si>
    <r>
      <rPr>
        <b/>
        <sz val="12"/>
        <rFont val="Times New Roman"/>
        <family val="1"/>
      </rPr>
      <t>5</t>
    </r>
    <r>
      <rPr>
        <b/>
        <sz val="12"/>
        <rFont val="宋体"/>
        <family val="3"/>
        <charset val="134"/>
      </rPr>
      <t>组【对照组</t>
    </r>
    <r>
      <rPr>
        <b/>
        <sz val="12"/>
        <rFont val="Times New Roman"/>
        <family val="1"/>
      </rPr>
      <t>+4</t>
    </r>
    <r>
      <rPr>
        <b/>
        <sz val="12"/>
        <rFont val="宋体"/>
        <family val="3"/>
        <charset val="134"/>
      </rPr>
      <t xml:space="preserve">个剂量组】
</t>
    </r>
    <r>
      <rPr>
        <b/>
        <sz val="12"/>
        <rFont val="Times New Roman"/>
        <family val="1"/>
      </rPr>
      <t>F0</t>
    </r>
    <r>
      <rPr>
        <b/>
        <sz val="12"/>
        <rFont val="宋体"/>
        <family val="3"/>
        <charset val="134"/>
      </rPr>
      <t>代血清（</t>
    </r>
    <r>
      <rPr>
        <b/>
        <sz val="12"/>
        <rFont val="Times New Roman"/>
        <family val="1"/>
      </rPr>
      <t>TK</t>
    </r>
    <r>
      <rPr>
        <b/>
        <sz val="12"/>
        <rFont val="宋体"/>
        <family val="3"/>
        <charset val="134"/>
      </rPr>
      <t>组）：</t>
    </r>
    <r>
      <rPr>
        <sz val="12"/>
        <rFont val="Times New Roman"/>
        <family val="1"/>
      </rPr>
      <t>GD6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GD17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GD20</t>
    </r>
    <r>
      <rPr>
        <sz val="12"/>
        <rFont val="宋体"/>
        <family val="3"/>
        <charset val="134"/>
      </rPr>
      <t>药前各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</t>
    </r>
    <r>
      <rPr>
        <b/>
        <sz val="12"/>
        <rFont val="Times New Roman"/>
        <family val="1"/>
      </rPr>
      <t xml:space="preserve">
</t>
    </r>
    <r>
      <rPr>
        <b/>
        <sz val="12"/>
        <color rgb="FF0000FF"/>
        <rFont val="宋体"/>
        <family val="3"/>
        <charset val="134"/>
      </rPr>
      <t>采集备测</t>
    </r>
  </si>
  <si>
    <r>
      <rPr>
        <sz val="12"/>
        <rFont val="宋体"/>
        <family val="3"/>
        <charset val="134"/>
      </rPr>
      <t>剖宫产检查</t>
    </r>
  </si>
  <si>
    <r>
      <rPr>
        <sz val="12"/>
        <rFont val="宋体"/>
        <family val="3"/>
        <charset val="134"/>
      </rPr>
      <t>所有动物剖宫产检查，子宫、胎盘称重
进行大体肉眼观察，黄体数、着床数、活胎数、死胎数、早期和晚期吸收胎数等</t>
    </r>
  </si>
  <si>
    <r>
      <rPr>
        <sz val="12"/>
        <rFont val="宋体"/>
        <family val="3"/>
        <charset val="134"/>
      </rPr>
      <t>以最终主试验母体动物数量为准</t>
    </r>
  </si>
  <si>
    <r>
      <rPr>
        <sz val="12"/>
        <rFont val="宋体"/>
        <family val="3"/>
        <charset val="134"/>
      </rPr>
      <t>胎仔检查</t>
    </r>
  </si>
  <si>
    <r>
      <rPr>
        <sz val="12"/>
        <rFont val="宋体"/>
        <family val="3"/>
        <charset val="134"/>
      </rPr>
      <t>胎仔性别、体重、外观、内脏和骨骼检查等</t>
    </r>
  </si>
  <si>
    <r>
      <rPr>
        <sz val="12"/>
        <rFont val="宋体"/>
        <family val="3"/>
        <charset val="134"/>
      </rPr>
      <t>张</t>
    </r>
  </si>
  <si>
    <r>
      <rPr>
        <sz val="12"/>
        <rFont val="宋体"/>
        <family val="3"/>
        <charset val="134"/>
      </rPr>
      <t>所有存活胎仔，数量以实际发生为准；
因每窝胎仔数量不同，无法预估，</t>
    </r>
    <r>
      <rPr>
        <b/>
        <sz val="12"/>
        <rFont val="宋体"/>
        <family val="3"/>
        <charset val="134"/>
      </rPr>
      <t>请以母体数量报价</t>
    </r>
  </si>
  <si>
    <r>
      <rPr>
        <b/>
        <sz val="12"/>
        <rFont val="宋体"/>
        <family val="3"/>
        <charset val="134"/>
      </rPr>
      <t xml:space="preserve">家兔Ⅱ段生殖毒性试验
</t>
    </r>
    <r>
      <rPr>
        <b/>
        <sz val="12"/>
        <rFont val="Times New Roman"/>
        <family val="1"/>
      </rPr>
      <t>EFD</t>
    </r>
    <r>
      <rPr>
        <b/>
        <sz val="12"/>
        <rFont val="宋体"/>
        <family val="3"/>
        <charset val="134"/>
      </rPr>
      <t>试验（</t>
    </r>
    <r>
      <rPr>
        <b/>
        <sz val="12"/>
        <rFont val="Times New Roman"/>
        <family val="1"/>
      </rPr>
      <t>GLP</t>
    </r>
    <r>
      <rPr>
        <b/>
        <sz val="12"/>
        <rFont val="宋体"/>
        <family val="3"/>
        <charset val="134"/>
      </rPr>
      <t>）</t>
    </r>
  </si>
  <si>
    <r>
      <rPr>
        <sz val="12"/>
        <rFont val="宋体"/>
        <family val="3"/>
        <charset val="134"/>
      </rPr>
      <t>新西兰兔</t>
    </r>
  </si>
  <si>
    <r>
      <rPr>
        <sz val="12"/>
        <rFont val="宋体"/>
        <family val="3"/>
        <charset val="134"/>
      </rPr>
      <t>包含包装费和运输费；
动物数量需根据指导原则和试验目的要求，满足胚胎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胎仔发育毒性评估要求，请根据贵机构实际试验情况填写；</t>
    </r>
  </si>
  <si>
    <r>
      <t>5~7</t>
    </r>
    <r>
      <rPr>
        <sz val="12"/>
        <rFont val="宋体"/>
        <family val="3"/>
        <charset val="134"/>
      </rPr>
      <t>月龄</t>
    </r>
  </si>
  <si>
    <r>
      <rPr>
        <sz val="12"/>
        <rFont val="宋体"/>
        <family val="3"/>
        <charset val="134"/>
      </rPr>
      <t>合计</t>
    </r>
    <r>
      <rPr>
        <sz val="12"/>
        <rFont val="Times New Roman"/>
        <family val="1"/>
      </rPr>
      <t>116</t>
    </r>
    <r>
      <rPr>
        <sz val="12"/>
        <rFont val="宋体"/>
        <family val="3"/>
        <charset val="134"/>
      </rPr>
      <t>只交配成功雌兔；
主试验组：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个剂量组】，每组至少</t>
    </r>
    <r>
      <rPr>
        <sz val="12"/>
        <rFont val="Times New Roman"/>
        <family val="1"/>
      </rPr>
      <t>22</t>
    </r>
    <r>
      <rPr>
        <sz val="12"/>
        <rFont val="宋体"/>
        <family val="3"/>
        <charset val="134"/>
      </rPr>
      <t>只交配成功雌兔（不少于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 xml:space="preserve">只孕兔）；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组：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个剂量组】，每组</t>
    </r>
    <r>
      <rPr>
        <sz val="12"/>
        <rFont val="Times New Roman"/>
        <family val="1"/>
      </rPr>
      <t>7</t>
    </r>
    <r>
      <rPr>
        <sz val="12"/>
        <rFont val="宋体"/>
        <family val="3"/>
        <charset val="134"/>
      </rPr>
      <t>只成功交配雌兔（不少于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只孕兔）；</t>
    </r>
  </si>
  <si>
    <r>
      <rPr>
        <sz val="12"/>
        <rFont val="宋体"/>
        <family val="3"/>
        <charset val="134"/>
      </rPr>
      <t>合计</t>
    </r>
    <r>
      <rPr>
        <sz val="12"/>
        <rFont val="Times New Roman"/>
        <family val="1"/>
      </rPr>
      <t>116</t>
    </r>
    <r>
      <rPr>
        <sz val="12"/>
        <rFont val="宋体"/>
        <family val="3"/>
        <charset val="134"/>
      </rPr>
      <t>只交配成功雌兔，雌雄各半；
主试验组：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个剂量组】，每组至少</t>
    </r>
    <r>
      <rPr>
        <sz val="12"/>
        <rFont val="Times New Roman"/>
        <family val="1"/>
      </rPr>
      <t>22</t>
    </r>
    <r>
      <rPr>
        <sz val="12"/>
        <rFont val="宋体"/>
        <family val="3"/>
        <charset val="134"/>
      </rPr>
      <t>只交配成功雌兔（不少于</t>
    </r>
    <r>
      <rPr>
        <sz val="12"/>
        <rFont val="Times New Roman"/>
        <family val="1"/>
      </rPr>
      <t>16</t>
    </r>
    <r>
      <rPr>
        <sz val="12"/>
        <rFont val="宋体"/>
        <family val="3"/>
        <charset val="134"/>
      </rPr>
      <t xml:space="preserve">只孕兔）；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组：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个剂量组】，每组</t>
    </r>
    <r>
      <rPr>
        <sz val="12"/>
        <rFont val="Times New Roman"/>
        <family val="1"/>
      </rPr>
      <t>7</t>
    </r>
    <r>
      <rPr>
        <sz val="12"/>
        <rFont val="宋体"/>
        <family val="3"/>
        <charset val="134"/>
      </rPr>
      <t>只成功交配雌兔（不少于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只孕兔）；</t>
    </r>
  </si>
  <si>
    <r>
      <rPr>
        <sz val="12"/>
        <rFont val="宋体"/>
        <family val="3"/>
        <charset val="134"/>
      </rPr>
      <t>因涉及交配周期，
以（交配期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妊娠期）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动物数量估算</t>
    </r>
  </si>
  <si>
    <r>
      <t>QD*14</t>
    </r>
    <r>
      <rPr>
        <b/>
        <sz val="12"/>
        <color rgb="FF0000FF"/>
        <rFont val="宋体"/>
        <family val="3"/>
        <charset val="134"/>
      </rPr>
      <t>（</t>
    </r>
    <r>
      <rPr>
        <b/>
        <sz val="12"/>
        <color rgb="FF0000FF"/>
        <rFont val="Times New Roman"/>
        <family val="1"/>
      </rPr>
      <t>TBD</t>
    </r>
    <r>
      <rPr>
        <b/>
        <sz val="12"/>
        <color rgb="FF0000FF"/>
        <rFont val="宋体"/>
        <family val="3"/>
        <charset val="134"/>
      </rPr>
      <t>）</t>
    </r>
    <r>
      <rPr>
        <sz val="12"/>
        <rFont val="Times New Roman"/>
        <family val="1"/>
      </rPr>
      <t xml:space="preserve">
TK</t>
    </r>
    <r>
      <rPr>
        <sz val="12"/>
        <rFont val="宋体"/>
        <family val="3"/>
        <charset val="134"/>
      </rPr>
      <t>组：</t>
    </r>
    <r>
      <rPr>
        <sz val="12"/>
        <rFont val="Times New Roman"/>
        <family val="1"/>
      </rPr>
      <t>GD28</t>
    </r>
    <r>
      <rPr>
        <sz val="12"/>
        <rFont val="宋体"/>
        <family val="3"/>
        <charset val="134"/>
      </rPr>
      <t>增加给药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次；</t>
    </r>
  </si>
  <si>
    <r>
      <t>3</t>
    </r>
    <r>
      <rPr>
        <sz val="12"/>
        <rFont val="宋体"/>
        <family val="3"/>
        <charset val="134"/>
      </rPr>
      <t>次</t>
    </r>
  </si>
  <si>
    <r>
      <rPr>
        <sz val="12"/>
        <rFont val="宋体"/>
        <family val="3"/>
        <charset val="134"/>
      </rPr>
      <t>笼</t>
    </r>
  </si>
  <si>
    <r>
      <rPr>
        <b/>
        <sz val="12"/>
        <rFont val="宋体"/>
        <family val="3"/>
        <charset val="134"/>
      </rPr>
      <t>血浆（</t>
    </r>
    <r>
      <rPr>
        <b/>
        <sz val="12"/>
        <rFont val="Times New Roman"/>
        <family val="1"/>
      </rPr>
      <t>TK</t>
    </r>
    <r>
      <rPr>
        <b/>
        <sz val="12"/>
        <rFont val="宋体"/>
        <family val="3"/>
        <charset val="134"/>
      </rPr>
      <t>组）：</t>
    </r>
    <r>
      <rPr>
        <sz val="12"/>
        <rFont val="宋体"/>
        <family val="3"/>
        <charset val="134"/>
      </rPr>
      <t>供试品组</t>
    </r>
    <r>
      <rPr>
        <sz val="12"/>
        <rFont val="Times New Roman"/>
        <family val="1"/>
      </rPr>
      <t>GD6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GD19</t>
    </r>
    <r>
      <rPr>
        <sz val="12"/>
        <rFont val="宋体"/>
        <family val="3"/>
        <charset val="134"/>
      </rPr>
      <t>给药前、药后采集约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个时间点，</t>
    </r>
    <r>
      <rPr>
        <sz val="12"/>
        <rFont val="Times New Roman"/>
        <family val="1"/>
      </rPr>
      <t>GD28</t>
    </r>
    <r>
      <rPr>
        <sz val="12"/>
        <rFont val="宋体"/>
        <family val="3"/>
        <charset val="134"/>
      </rPr>
      <t>采集药后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个点；溶媒对照组</t>
    </r>
    <r>
      <rPr>
        <sz val="12"/>
        <rFont val="Times New Roman"/>
        <family val="1"/>
      </rPr>
      <t>F0</t>
    </r>
    <r>
      <rPr>
        <sz val="12"/>
        <rFont val="宋体"/>
        <family val="3"/>
        <charset val="134"/>
      </rPr>
      <t>代采集给药前、给药后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个时间点；</t>
    </r>
  </si>
  <si>
    <r>
      <t>TK</t>
    </r>
    <r>
      <rPr>
        <sz val="12"/>
        <rFont val="宋体"/>
        <family val="3"/>
        <charset val="134"/>
      </rPr>
      <t>动物数量请以贵单位试验设计计算，需要满足统计学需求；
血浆样本量：动物数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组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组别数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采血点数量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 xml:space="preserve">采血周期；
数量以实际发生为准；
</t>
    </r>
    <r>
      <rPr>
        <b/>
        <sz val="12"/>
        <color rgb="FFFF0000"/>
        <rFont val="宋体"/>
        <family val="3"/>
        <charset val="134"/>
      </rPr>
      <t>请分别报血浆和组织单个代谢产物检测单价：</t>
    </r>
  </si>
  <si>
    <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 xml:space="preserve">个剂量组】
</t>
    </r>
    <r>
      <rPr>
        <sz val="12"/>
        <rFont val="Times New Roman"/>
        <family val="1"/>
      </rPr>
      <t>F0</t>
    </r>
    <r>
      <rPr>
        <sz val="12"/>
        <rFont val="宋体"/>
        <family val="3"/>
        <charset val="134"/>
      </rPr>
      <t>代血清（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组）：</t>
    </r>
    <r>
      <rPr>
        <sz val="12"/>
        <rFont val="Times New Roman"/>
        <family val="1"/>
      </rPr>
      <t>GD6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GD19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GD28</t>
    </r>
    <r>
      <rPr>
        <sz val="12"/>
        <rFont val="宋体"/>
        <family val="3"/>
        <charset val="134"/>
      </rPr>
      <t>药前各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次
采集待测</t>
    </r>
  </si>
  <si>
    <r>
      <rPr>
        <sz val="12"/>
        <rFont val="宋体"/>
        <family val="3"/>
        <charset val="134"/>
      </rPr>
      <t>主试验母体动物数量</t>
    </r>
  </si>
  <si>
    <r>
      <rPr>
        <sz val="12"/>
        <color theme="1"/>
        <rFont val="宋体"/>
        <family val="3"/>
        <charset val="134"/>
      </rPr>
      <t>胎仔性别、体重、外观、内脏和骨骼检查等</t>
    </r>
  </si>
  <si>
    <r>
      <rPr>
        <b/>
        <sz val="12"/>
        <rFont val="宋体"/>
        <family val="3"/>
        <charset val="134"/>
      </rPr>
      <t>研究资料保存保存</t>
    </r>
  </si>
  <si>
    <r>
      <rPr>
        <sz val="12"/>
        <rFont val="宋体"/>
        <family val="3"/>
        <charset val="134"/>
      </rPr>
      <t>标本</t>
    </r>
  </si>
  <si>
    <r>
      <rPr>
        <sz val="12"/>
        <rFont val="宋体"/>
        <family val="3"/>
        <charset val="134"/>
      </rPr>
      <t>包含病理标本等</t>
    </r>
  </si>
  <si>
    <r>
      <rPr>
        <sz val="12"/>
        <rFont val="宋体"/>
        <family val="3"/>
        <charset val="134"/>
      </rPr>
      <t>免费保存至产品上市后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年，免费保存期满后收费标准（单价）</t>
    </r>
  </si>
  <si>
    <r>
      <rPr>
        <sz val="12"/>
        <rFont val="宋体"/>
        <family val="3"/>
        <charset val="134"/>
      </rPr>
      <t>原始资料</t>
    </r>
  </si>
  <si>
    <r>
      <rPr>
        <sz val="12"/>
        <rFont val="宋体"/>
        <family val="3"/>
        <charset val="134"/>
      </rPr>
      <t>包含纸质、电子资料</t>
    </r>
  </si>
  <si>
    <r>
      <rPr>
        <b/>
        <sz val="14"/>
        <color theme="1"/>
        <rFont val="宋体"/>
        <family val="3"/>
        <charset val="134"/>
      </rPr>
      <t>不含税金额合计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宋体"/>
        <family val="3"/>
        <charset val="134"/>
      </rPr>
      <t>元</t>
    </r>
  </si>
  <si>
    <r>
      <rPr>
        <b/>
        <sz val="14"/>
        <color theme="1"/>
        <rFont val="宋体"/>
        <family val="3"/>
        <charset val="134"/>
      </rPr>
      <t>含税（</t>
    </r>
    <r>
      <rPr>
        <b/>
        <sz val="14"/>
        <color theme="1"/>
        <rFont val="Times New Roman"/>
        <family val="1"/>
      </rPr>
      <t>6%</t>
    </r>
    <r>
      <rPr>
        <b/>
        <sz val="14"/>
        <color theme="1"/>
        <rFont val="宋体"/>
        <family val="3"/>
        <charset val="134"/>
      </rPr>
      <t>）金额合计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宋体"/>
        <family val="3"/>
        <charset val="134"/>
      </rPr>
      <t>元</t>
    </r>
  </si>
  <si>
    <r>
      <rPr>
        <b/>
        <sz val="14"/>
        <color theme="1"/>
        <rFont val="宋体"/>
        <family val="3"/>
        <charset val="134"/>
      </rPr>
      <t>税额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宋体"/>
        <family val="3"/>
        <charset val="134"/>
      </rPr>
      <t>元</t>
    </r>
  </si>
  <si>
    <r>
      <rPr>
        <b/>
        <sz val="11"/>
        <color theme="1"/>
        <rFont val="宋体"/>
        <family val="3"/>
        <charset val="134"/>
      </rPr>
      <t xml:space="preserve">备注：
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family val="3"/>
        <charset val="134"/>
      </rPr>
      <t>、试验内容按照此版本报价大纲初步拟定，但应以试验方案为最终依据；若试验开展过程中发生与本报价大纲不同的地方，由此带来的费用变更，双方将以</t>
    </r>
    <r>
      <rPr>
        <b/>
        <sz val="11"/>
        <color theme="1"/>
        <rFont val="Times New Roman"/>
        <family val="1"/>
      </rPr>
      <t>“</t>
    </r>
    <r>
      <rPr>
        <b/>
        <sz val="11"/>
        <color theme="1"/>
        <rFont val="宋体"/>
        <family val="3"/>
        <charset val="134"/>
      </rPr>
      <t>补充合同</t>
    </r>
    <r>
      <rPr>
        <b/>
        <sz val="11"/>
        <color theme="1"/>
        <rFont val="Times New Roman"/>
        <family val="1"/>
      </rPr>
      <t>”</t>
    </r>
    <r>
      <rPr>
        <b/>
        <sz val="11"/>
        <color theme="1"/>
        <rFont val="宋体"/>
        <family val="3"/>
        <charset val="134"/>
      </rPr>
      <t xml:space="preserve">进行据实结算；
</t>
    </r>
    <r>
      <rPr>
        <b/>
        <sz val="11"/>
        <color theme="1"/>
        <rFont val="Times New Roman"/>
        <family val="1"/>
      </rPr>
      <t>2</t>
    </r>
    <r>
      <rPr>
        <b/>
        <sz val="11"/>
        <color theme="1"/>
        <rFont val="宋体"/>
        <family val="3"/>
        <charset val="134"/>
      </rPr>
      <t>、试验需要使用的非常规试剂、试剂盒及特殊关键试剂（包括但不限于特异性抗体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抗原蛋白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特殊检测试剂盒</t>
    </r>
    <r>
      <rPr>
        <b/>
        <sz val="11"/>
        <color theme="1"/>
        <rFont val="Times New Roman"/>
        <family val="1"/>
      </rPr>
      <t>/ADA</t>
    </r>
    <r>
      <rPr>
        <b/>
        <sz val="11"/>
        <color theme="1"/>
        <rFont val="宋体"/>
        <family val="3"/>
        <charset val="134"/>
      </rPr>
      <t>阳性对照抗体），若为合作单位代购，需请对方出具相关购买凭证据实结算；</t>
    </r>
  </si>
  <si>
    <r>
      <rPr>
        <sz val="12"/>
        <color rgb="FFFF0000"/>
        <rFont val="宋体"/>
        <family val="3"/>
        <charset val="134"/>
      </rPr>
      <t>仅报单价，本次合计报价不包含该部分的价格</t>
    </r>
    <phoneticPr fontId="54" type="noConversion"/>
  </si>
  <si>
    <r>
      <rPr>
        <sz val="12"/>
        <rFont val="宋体"/>
        <family val="3"/>
        <charset val="134"/>
      </rPr>
      <t>包含包装费和运输费
动物数量需根据指导原则和试验目的要求，满足胚胎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 xml:space="preserve">胎仔发育毒性评估要求，请根据贵机构实际试验情况填写
</t>
    </r>
    <phoneticPr fontId="54" type="noConversion"/>
  </si>
  <si>
    <t>PCDT024项目非临床安全性评价研究报价单</t>
  </si>
  <si>
    <t>PCDT024项目非临床安全性评价</t>
  </si>
  <si>
    <t>血浆：
待测物：PCDT024 分子AS、SS链、2个代谢产物（代谢产物数量待定）；
组别：4组【对照组+3个剂量组】，共计1110个样本+10%ISR，样本检测、数据分析</t>
  </si>
  <si>
    <t>肝脏：
待测物：PCDT024 AS、SS链、2个代谢产物（代谢产物数量待定）；
组别：4组【1对照组+3个剂量组】，共计40个样本+10%ISR，样本检测、数据分析</t>
  </si>
  <si>
    <t>血浆：
5组【对照组+3个剂量组】，
待测物：PCDT024 AS、SS链、2个代谢产物（代谢产物数量待定）；
共计约XX个样本+10%ISR，样本检测、数据分析
TK参数计算、分析</t>
  </si>
  <si>
    <t>肝脏、胎盘：
5组【对照组+3个剂量组】，
待测物：PCDT024 AS、SS链、2个代谢产物（代谢产物数量待定）；
共计约XX个样本+10%ISR，样本检测、数据分析
TK参数计算、分析</t>
  </si>
  <si>
    <t>血浆、肝脏：
5组【对照组+3个剂量组】，
待测物：PCDT024 AS、SS链、2个代谢产物（代谢产物数量待定）；
共计约XX个样本+10%ISR，样本检测、数据分析
TK参数计算、分析</t>
  </si>
  <si>
    <t>精子计数、精子活力和精子形态检查</t>
    <phoneticPr fontId="54" type="noConversion"/>
  </si>
  <si>
    <r>
      <rPr>
        <b/>
        <sz val="12"/>
        <color theme="1"/>
        <rFont val="宋体"/>
        <family val="3"/>
        <charset val="134"/>
      </rPr>
      <t>供试品分析及生物分析方法学</t>
    </r>
  </si>
  <si>
    <r>
      <rPr>
        <b/>
        <sz val="12"/>
        <color theme="1"/>
        <rFont val="宋体"/>
        <family val="3"/>
        <charset val="134"/>
      </rPr>
      <t>项目</t>
    </r>
  </si>
  <si>
    <r>
      <rPr>
        <b/>
        <sz val="12"/>
        <color theme="1"/>
        <rFont val="宋体"/>
        <family val="3"/>
        <charset val="134"/>
      </rPr>
      <t>具体研究内容</t>
    </r>
  </si>
  <si>
    <r>
      <rPr>
        <b/>
        <sz val="12"/>
        <rFont val="宋体"/>
        <family val="3"/>
        <charset val="134"/>
      </rPr>
      <t>单位</t>
    </r>
  </si>
  <si>
    <r>
      <rPr>
        <b/>
        <sz val="12"/>
        <color theme="1"/>
        <rFont val="宋体"/>
        <family val="3"/>
        <charset val="134"/>
      </rPr>
      <t>数量</t>
    </r>
  </si>
  <si>
    <r>
      <rPr>
        <b/>
        <sz val="12"/>
        <color theme="1"/>
        <rFont val="宋体"/>
        <family val="3"/>
        <charset val="134"/>
      </rPr>
      <t>供试品分析</t>
    </r>
    <phoneticPr fontId="54" type="noConversion"/>
  </si>
  <si>
    <r>
      <rPr>
        <sz val="12"/>
        <rFont val="宋体"/>
        <family val="3"/>
        <charset val="134"/>
      </rPr>
      <t>个方法</t>
    </r>
  </si>
  <si>
    <r>
      <rPr>
        <b/>
        <sz val="12"/>
        <color theme="1"/>
        <rFont val="宋体"/>
        <family val="3"/>
        <charset val="134"/>
      </rPr>
      <t>关键耗材</t>
    </r>
  </si>
  <si>
    <r>
      <rPr>
        <sz val="12"/>
        <rFont val="宋体"/>
        <family val="3"/>
        <charset val="134"/>
      </rPr>
      <t>个</t>
    </r>
  </si>
  <si>
    <r>
      <t>MSD</t>
    </r>
    <r>
      <rPr>
        <sz val="12"/>
        <rFont val="宋体"/>
        <family val="3"/>
        <charset val="134"/>
      </rPr>
      <t>检测板
型号：普通板</t>
    </r>
  </si>
  <si>
    <r>
      <rPr>
        <b/>
        <sz val="12"/>
        <color theme="1"/>
        <rFont val="宋体"/>
        <family val="3"/>
        <charset val="134"/>
      </rPr>
      <t>不含税单价
元</t>
    </r>
  </si>
  <si>
    <r>
      <rPr>
        <b/>
        <sz val="12"/>
        <color theme="1"/>
        <rFont val="宋体"/>
        <family val="3"/>
        <charset val="134"/>
      </rPr>
      <t>不含税金额
元</t>
    </r>
  </si>
  <si>
    <r>
      <rPr>
        <sz val="12"/>
        <color theme="1"/>
        <rFont val="宋体"/>
        <family val="3"/>
        <charset val="134"/>
      </rPr>
      <t>待测物：</t>
    </r>
    <r>
      <rPr>
        <sz val="12"/>
        <color theme="1"/>
        <rFont val="Times New Roman"/>
        <family val="1"/>
      </rPr>
      <t>PCDT024</t>
    </r>
    <r>
      <rPr>
        <sz val="12"/>
        <color theme="1"/>
        <rFont val="宋体"/>
        <family val="3"/>
        <charset val="134"/>
      </rPr>
      <t>和替代分子
检测方法：</t>
    </r>
    <r>
      <rPr>
        <sz val="12"/>
        <color theme="1"/>
        <rFont val="Times New Roman"/>
        <family val="1"/>
      </rPr>
      <t>HPLC</t>
    </r>
    <r>
      <rPr>
        <sz val="12"/>
        <color theme="1"/>
        <rFont val="宋体"/>
        <family val="3"/>
        <charset val="134"/>
      </rPr>
      <t>法
研究内容：方法重现及验证；
备注：由齐鲁方提供分析方法；</t>
    </r>
  </si>
  <si>
    <r>
      <rPr>
        <b/>
        <sz val="12"/>
        <color theme="1"/>
        <rFont val="宋体"/>
        <family val="3"/>
        <charset val="134"/>
      </rPr>
      <t>生物分析【</t>
    </r>
    <r>
      <rPr>
        <b/>
        <sz val="12"/>
        <color theme="1"/>
        <rFont val="Times New Roman"/>
        <family val="1"/>
      </rPr>
      <t>TK</t>
    </r>
    <r>
      <rPr>
        <b/>
        <sz val="12"/>
        <color theme="1"/>
        <rFont val="宋体"/>
        <family val="3"/>
        <charset val="134"/>
      </rPr>
      <t>】</t>
    </r>
  </si>
  <si>
    <r>
      <rPr>
        <sz val="12"/>
        <color theme="1"/>
        <rFont val="宋体"/>
        <family val="3"/>
        <charset val="134"/>
      </rPr>
      <t>待测物：</t>
    </r>
    <r>
      <rPr>
        <sz val="12"/>
        <color theme="1"/>
        <rFont val="Times New Roman"/>
        <family val="1"/>
      </rPr>
      <t>PCDT024</t>
    </r>
    <r>
      <rPr>
        <sz val="12"/>
        <color theme="1"/>
        <rFont val="宋体"/>
        <family val="3"/>
        <charset val="134"/>
      </rPr>
      <t>和替代分子</t>
    </r>
    <r>
      <rPr>
        <sz val="12"/>
        <color theme="1"/>
        <rFont val="Times New Roman"/>
        <family val="1"/>
      </rPr>
      <t>AS/SS</t>
    </r>
    <r>
      <rPr>
        <sz val="12"/>
        <color theme="1"/>
        <rFont val="宋体"/>
        <family val="3"/>
        <charset val="134"/>
      </rPr>
      <t>链及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个代谢产物</t>
    </r>
    <r>
      <rPr>
        <sz val="12"/>
        <color rgb="FF0000FF"/>
        <rFont val="宋体"/>
        <family val="3"/>
        <charset val="134"/>
      </rPr>
      <t>（代谢产物数量待定）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3"/>
        <charset val="134"/>
      </rPr>
      <t>检测方法：</t>
    </r>
    <r>
      <rPr>
        <sz val="12"/>
        <color theme="1"/>
        <rFont val="Times New Roman"/>
        <family val="1"/>
      </rPr>
      <t xml:space="preserve">LC-MS
</t>
    </r>
    <r>
      <rPr>
        <sz val="12"/>
        <color theme="1"/>
        <rFont val="宋体"/>
        <family val="3"/>
        <charset val="134"/>
      </rPr>
      <t>研究内容：方法重现和验证
基质类型：</t>
    </r>
    <r>
      <rPr>
        <sz val="12"/>
        <color theme="1"/>
        <rFont val="Times New Roman"/>
        <family val="1"/>
      </rPr>
      <t>SD</t>
    </r>
    <r>
      <rPr>
        <sz val="12"/>
        <color theme="1"/>
        <rFont val="宋体"/>
        <family val="3"/>
        <charset val="134"/>
      </rPr>
      <t>大鼠血浆、肝脏、胎盘（</t>
    </r>
    <r>
      <rPr>
        <sz val="12"/>
        <color theme="1"/>
        <rFont val="Times New Roman"/>
        <family val="1"/>
      </rPr>
      <t>PCDT024</t>
    </r>
    <r>
      <rPr>
        <sz val="12"/>
        <color theme="1"/>
        <rFont val="宋体"/>
        <family val="3"/>
        <charset val="134"/>
      </rPr>
      <t>和替代分子），食蟹猴血浆、肝脏（</t>
    </r>
    <r>
      <rPr>
        <sz val="12"/>
        <color theme="1"/>
        <rFont val="Times New Roman"/>
        <family val="1"/>
      </rPr>
      <t>PCDT024</t>
    </r>
    <r>
      <rPr>
        <sz val="12"/>
        <color theme="1"/>
        <rFont val="宋体"/>
        <family val="3"/>
        <charset val="134"/>
      </rPr>
      <t>分子），家兔血浆、肝脏、胎盘（</t>
    </r>
    <r>
      <rPr>
        <sz val="12"/>
        <color theme="1"/>
        <rFont val="Times New Roman"/>
        <family val="1"/>
      </rPr>
      <t>PCDT024</t>
    </r>
    <r>
      <rPr>
        <sz val="12"/>
        <color theme="1"/>
        <rFont val="宋体"/>
        <family val="3"/>
        <charset val="134"/>
      </rPr>
      <t>分子）；
备注：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个方法（血浆和肝脏组织完整验证，胎盘以肝脏作为替代基质，进行一个</t>
    </r>
    <r>
      <rPr>
        <sz val="12"/>
        <color theme="1"/>
        <rFont val="Times New Roman"/>
        <family val="1"/>
      </rPr>
      <t>AP</t>
    </r>
    <r>
      <rPr>
        <sz val="12"/>
        <color theme="1"/>
        <rFont val="宋体"/>
        <family val="3"/>
        <charset val="134"/>
      </rPr>
      <t>桥接即可）</t>
    </r>
    <phoneticPr fontId="54" type="noConversion"/>
  </si>
  <si>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PCDT024</t>
    </r>
    <r>
      <rPr>
        <b/>
        <sz val="12"/>
        <color rgb="FFFF0000"/>
        <rFont val="宋体"/>
        <family val="3"/>
        <charset val="134"/>
      </rPr>
      <t>和替代分子单个代谢产物重现和验证单价：</t>
    </r>
  </si>
  <si>
    <r>
      <rPr>
        <b/>
        <sz val="12"/>
        <color theme="1"/>
        <rFont val="宋体"/>
        <family val="3"/>
        <charset val="134"/>
      </rPr>
      <t>免疫原性分析【</t>
    </r>
    <r>
      <rPr>
        <b/>
        <sz val="12"/>
        <color theme="1"/>
        <rFont val="Times New Roman"/>
        <family val="1"/>
      </rPr>
      <t>ADA</t>
    </r>
    <r>
      <rPr>
        <b/>
        <sz val="12"/>
        <color theme="1"/>
        <rFont val="宋体"/>
        <family val="3"/>
        <charset val="134"/>
      </rPr>
      <t>】</t>
    </r>
  </si>
  <si>
    <r>
      <rPr>
        <sz val="12"/>
        <color theme="1"/>
        <rFont val="宋体"/>
        <family val="3"/>
        <charset val="134"/>
      </rPr>
      <t>待测物：</t>
    </r>
    <r>
      <rPr>
        <sz val="12"/>
        <color theme="1"/>
        <rFont val="Times New Roman"/>
        <family val="1"/>
      </rPr>
      <t xml:space="preserve">PCDT024 
</t>
    </r>
    <r>
      <rPr>
        <sz val="12"/>
        <color theme="1"/>
        <rFont val="宋体"/>
        <family val="3"/>
        <charset val="134"/>
      </rPr>
      <t>检测方法：</t>
    </r>
    <r>
      <rPr>
        <sz val="12"/>
        <color theme="1"/>
        <rFont val="Times New Roman"/>
        <family val="1"/>
      </rPr>
      <t>ELISA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>MSD</t>
    </r>
    <r>
      <rPr>
        <sz val="12"/>
        <color theme="1"/>
        <rFont val="宋体"/>
        <family val="3"/>
        <charset val="134"/>
      </rPr>
      <t>（请先按照</t>
    </r>
    <r>
      <rPr>
        <sz val="12"/>
        <color theme="1"/>
        <rFont val="Times New Roman"/>
        <family val="1"/>
      </rPr>
      <t>ELISA</t>
    </r>
    <r>
      <rPr>
        <sz val="12"/>
        <color theme="1"/>
        <rFont val="宋体"/>
        <family val="3"/>
        <charset val="134"/>
      </rPr>
      <t>方法进行开发，若开发失败则改为</t>
    </r>
    <r>
      <rPr>
        <sz val="12"/>
        <color theme="1"/>
        <rFont val="Times New Roman"/>
        <family val="1"/>
      </rPr>
      <t>MSD</t>
    </r>
    <r>
      <rPr>
        <sz val="12"/>
        <color theme="1"/>
        <rFont val="宋体"/>
        <family val="3"/>
        <charset val="134"/>
      </rPr>
      <t>法，此处按照</t>
    </r>
    <r>
      <rPr>
        <sz val="12"/>
        <color theme="1"/>
        <rFont val="Times New Roman"/>
        <family val="1"/>
      </rPr>
      <t>ELISA</t>
    </r>
    <r>
      <rPr>
        <sz val="12"/>
        <color theme="1"/>
        <rFont val="宋体"/>
        <family val="3"/>
        <charset val="134"/>
      </rPr>
      <t>方法报价）
研究内容：方法开发
基质：大鼠和食蟹猴血清
备注：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个方法，由齐鲁方提供关键试剂（兔多抗、</t>
    </r>
    <r>
      <rPr>
        <sz val="12"/>
        <color theme="1"/>
        <rFont val="Times New Roman"/>
        <family val="1"/>
      </rPr>
      <t>bio-7402</t>
    </r>
    <r>
      <rPr>
        <sz val="12"/>
        <color theme="1"/>
        <rFont val="宋体"/>
        <family val="3"/>
        <charset val="134"/>
      </rPr>
      <t>）</t>
    </r>
  </si>
  <si>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方法开发单价：</t>
    </r>
  </si>
  <si>
    <r>
      <rPr>
        <sz val="12"/>
        <color theme="1"/>
        <rFont val="宋体"/>
        <family val="3"/>
        <charset val="134"/>
      </rPr>
      <t>待测物：</t>
    </r>
    <r>
      <rPr>
        <sz val="12"/>
        <color theme="1"/>
        <rFont val="Times New Roman"/>
        <family val="1"/>
      </rPr>
      <t xml:space="preserve">PCDT024 
</t>
    </r>
    <r>
      <rPr>
        <sz val="12"/>
        <color theme="1"/>
        <rFont val="宋体"/>
        <family val="3"/>
        <charset val="134"/>
      </rPr>
      <t>检测方法：</t>
    </r>
    <r>
      <rPr>
        <sz val="12"/>
        <color theme="1"/>
        <rFont val="Times New Roman"/>
        <family val="1"/>
      </rPr>
      <t>ELISA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>MSD</t>
    </r>
    <r>
      <rPr>
        <sz val="12"/>
        <color theme="1"/>
        <rFont val="宋体"/>
        <family val="3"/>
        <charset val="134"/>
      </rPr>
      <t>（此处按照</t>
    </r>
    <r>
      <rPr>
        <sz val="12"/>
        <color theme="1"/>
        <rFont val="Times New Roman"/>
        <family val="1"/>
      </rPr>
      <t>ELISA</t>
    </r>
    <r>
      <rPr>
        <sz val="12"/>
        <color theme="1"/>
        <rFont val="宋体"/>
        <family val="3"/>
        <charset val="134"/>
      </rPr>
      <t>方法报价）
研究内容：方法重现及验证
基质：大鼠和食蟹猴血清
备注：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个方法，由齐鲁方提供关键试剂（兔多抗、</t>
    </r>
    <r>
      <rPr>
        <sz val="12"/>
        <color theme="1"/>
        <rFont val="Times New Roman"/>
        <family val="1"/>
      </rPr>
      <t>bio-</t>
    </r>
    <r>
      <rPr>
        <sz val="12"/>
        <color theme="1"/>
        <rFont val="宋体"/>
        <family val="3"/>
        <charset val="134"/>
      </rPr>
      <t>供试品）</t>
    </r>
    <phoneticPr fontId="54" type="noConversion"/>
  </si>
  <si>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方法重现和验证单价：</t>
    </r>
  </si>
  <si>
    <r>
      <rPr>
        <sz val="12"/>
        <color theme="1"/>
        <rFont val="宋体"/>
        <family val="3"/>
        <charset val="134"/>
      </rPr>
      <t>生物分析用</t>
    </r>
    <r>
      <rPr>
        <sz val="12"/>
        <color theme="1"/>
        <rFont val="Times New Roman"/>
        <family val="1"/>
      </rPr>
      <t>SPE</t>
    </r>
    <r>
      <rPr>
        <sz val="12"/>
        <color theme="1"/>
        <rFont val="宋体"/>
        <family val="3"/>
        <charset val="134"/>
      </rPr>
      <t>检测板</t>
    </r>
    <r>
      <rPr>
        <b/>
        <sz val="12"/>
        <color theme="1"/>
        <rFont val="宋体"/>
        <family val="3"/>
        <charset val="134"/>
      </rPr>
      <t>（若</t>
    </r>
    <r>
      <rPr>
        <b/>
        <sz val="12"/>
        <color theme="1"/>
        <rFont val="Times New Roman"/>
        <family val="1"/>
      </rPr>
      <t>SPE</t>
    </r>
    <r>
      <rPr>
        <b/>
        <sz val="12"/>
        <color theme="1"/>
        <rFont val="宋体"/>
        <family val="3"/>
        <charset val="134"/>
      </rPr>
      <t>板费用不包含在生物分析总费用中，请预估</t>
    </r>
    <r>
      <rPr>
        <b/>
        <sz val="12"/>
        <color theme="1"/>
        <rFont val="Times New Roman"/>
        <family val="1"/>
      </rPr>
      <t>SPE</t>
    </r>
    <r>
      <rPr>
        <b/>
        <sz val="12"/>
        <color theme="1"/>
        <rFont val="宋体"/>
        <family val="3"/>
        <charset val="134"/>
      </rPr>
      <t>板数量并报价；若包含，则无需报价）</t>
    </r>
  </si>
  <si>
    <r>
      <rPr>
        <sz val="12"/>
        <color theme="1"/>
        <rFont val="宋体"/>
        <family val="3"/>
        <charset val="134"/>
      </rPr>
      <t xml:space="preserve">数量由乙方根据项目需求以及内部经验预估；后期据实结算，需满足本项目的研究用途。
如中途需要额外购买（超出预估数量），费用由乙方承担，甲方不再追加费用。
</t>
    </r>
    <r>
      <rPr>
        <sz val="12"/>
        <color rgb="FFFF0000"/>
        <rFont val="宋体"/>
        <family val="3"/>
        <charset val="134"/>
      </rPr>
      <t>本次仅预估使用数量和报价，暂不计入总价。</t>
    </r>
    <phoneticPr fontId="54" type="noConversion"/>
  </si>
  <si>
    <r>
      <t>MSD</t>
    </r>
    <r>
      <rPr>
        <sz val="12"/>
        <rFont val="宋体"/>
        <family val="3"/>
        <charset val="134"/>
      </rPr>
      <t>检测板
型号：</t>
    </r>
    <r>
      <rPr>
        <sz val="12"/>
        <rFont val="Times New Roman"/>
        <family val="1"/>
      </rPr>
      <t>SA</t>
    </r>
    <r>
      <rPr>
        <sz val="12"/>
        <rFont val="宋体"/>
        <family val="3"/>
        <charset val="134"/>
      </rPr>
      <t>板</t>
    </r>
  </si>
  <si>
    <r>
      <rPr>
        <sz val="12"/>
        <color theme="1"/>
        <rFont val="宋体"/>
        <family val="3"/>
        <charset val="134"/>
      </rPr>
      <t xml:space="preserve">数量由乙方根据项目需求预估；后期据实结算，需满足本项目的研究用途。
如中途需要额外购买（超出预估数量），费用由乙方承担，甲方不再追加费用。
</t>
    </r>
    <r>
      <rPr>
        <sz val="12"/>
        <color rgb="FFFF0000"/>
        <rFont val="宋体"/>
        <family val="3"/>
        <charset val="134"/>
      </rPr>
      <t>本次仅预估使用数量和报价，暂不计入总价。</t>
    </r>
    <phoneticPr fontId="54" type="noConversion"/>
  </si>
  <si>
    <r>
      <rPr>
        <b/>
        <sz val="12"/>
        <color theme="1"/>
        <rFont val="宋体"/>
        <family val="3"/>
        <charset val="134"/>
      </rPr>
      <t>不含税金额合计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</si>
  <si>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>含税（</t>
    </r>
    <r>
      <rPr>
        <b/>
        <sz val="12"/>
        <color theme="1"/>
        <rFont val="Times New Roman"/>
        <family val="1"/>
      </rPr>
      <t>6%</t>
    </r>
    <r>
      <rPr>
        <b/>
        <sz val="12"/>
        <color theme="1"/>
        <rFont val="宋体"/>
        <family val="3"/>
        <charset val="134"/>
      </rPr>
      <t>）金额合计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</si>
  <si>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>税额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元</t>
    </r>
  </si>
  <si>
    <r>
      <rPr>
        <b/>
        <sz val="12"/>
        <color theme="1"/>
        <rFont val="宋体"/>
        <family val="3"/>
        <charset val="134"/>
      </rPr>
      <t xml:space="preserve">备注：
</t>
    </r>
    <r>
      <rPr>
        <b/>
        <sz val="12"/>
        <color theme="1"/>
        <rFont val="Times New Roman"/>
        <family val="1"/>
      </rPr>
      <t>1</t>
    </r>
    <r>
      <rPr>
        <b/>
        <sz val="12"/>
        <color theme="1"/>
        <rFont val="宋体"/>
        <family val="3"/>
        <charset val="134"/>
      </rPr>
      <t>、试验内容按照此版本报价大纲初步拟定，但应以试验方案为最终依据；若试验开展过程中发生与本报价大纲不同的地方，由此带来的费用变更，双方将以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宋体"/>
        <family val="3"/>
        <charset val="134"/>
      </rPr>
      <t>补充合同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宋体"/>
        <family val="3"/>
        <charset val="134"/>
      </rPr>
      <t xml:space="preserve">进行据实结算；
</t>
    </r>
    <r>
      <rPr>
        <b/>
        <sz val="12"/>
        <color theme="1"/>
        <rFont val="Times New Roman"/>
        <family val="1"/>
      </rPr>
      <t>2</t>
    </r>
    <r>
      <rPr>
        <b/>
        <sz val="12"/>
        <color theme="1"/>
        <rFont val="宋体"/>
        <family val="3"/>
        <charset val="134"/>
      </rPr>
      <t>、试验需要使用的非常规试剂、试剂盒及特殊关键试剂（包括但不限于特异性抗体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抗原蛋白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特殊检测试剂盒</t>
    </r>
    <r>
      <rPr>
        <b/>
        <sz val="12"/>
        <color theme="1"/>
        <rFont val="Times New Roman"/>
        <family val="1"/>
      </rPr>
      <t>/ADA</t>
    </r>
    <r>
      <rPr>
        <b/>
        <sz val="12"/>
        <color theme="1"/>
        <rFont val="宋体"/>
        <family val="3"/>
        <charset val="134"/>
      </rPr>
      <t>阳性对照抗体），若为合作单位代购，需请对方出具相关购买凭证据实结算；</t>
    </r>
  </si>
  <si>
    <r>
      <rPr>
        <b/>
        <sz val="12"/>
        <rFont val="宋体"/>
        <family val="3"/>
        <charset val="134"/>
      </rPr>
      <t xml:space="preserve">血浆：
</t>
    </r>
    <r>
      <rPr>
        <sz val="12"/>
        <rFont val="宋体"/>
        <family val="3"/>
        <charset val="134"/>
      </rPr>
      <t>待测物：</t>
    </r>
    <r>
      <rPr>
        <sz val="12"/>
        <rFont val="Times New Roman"/>
        <family val="1"/>
      </rPr>
      <t>PCDT024</t>
    </r>
    <r>
      <rPr>
        <sz val="12"/>
        <rFont val="宋体"/>
        <family val="3"/>
        <charset val="134"/>
      </rPr>
      <t>分子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SS</t>
    </r>
    <r>
      <rPr>
        <sz val="12"/>
        <rFont val="宋体"/>
        <family val="3"/>
        <charset val="134"/>
      </rPr>
      <t>链、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代谢产物</t>
    </r>
    <r>
      <rPr>
        <sz val="12"/>
        <color rgb="FF0000FF"/>
        <rFont val="宋体"/>
        <family val="3"/>
        <charset val="134"/>
      </rPr>
      <t>（代谢产物数量待定）</t>
    </r>
    <r>
      <rPr>
        <sz val="12"/>
        <rFont val="宋体"/>
        <family val="3"/>
        <charset val="134"/>
      </rPr>
      <t>；
组别：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个剂量组】，共计</t>
    </r>
    <r>
      <rPr>
        <sz val="12"/>
        <rFont val="Times New Roman"/>
        <family val="1"/>
      </rPr>
      <t>464</t>
    </r>
    <r>
      <rPr>
        <sz val="12"/>
        <rFont val="宋体"/>
        <family val="3"/>
        <charset val="134"/>
      </rPr>
      <t>个样本</t>
    </r>
    <r>
      <rPr>
        <sz val="12"/>
        <rFont val="Times New Roman"/>
        <family val="1"/>
      </rPr>
      <t>+10%ISR</t>
    </r>
    <r>
      <rPr>
        <sz val="12"/>
        <rFont val="宋体"/>
        <family val="3"/>
        <charset val="134"/>
      </rPr>
      <t>，样本检测、数据分析；</t>
    </r>
    <phoneticPr fontId="54" type="noConversion"/>
  </si>
  <si>
    <r>
      <rPr>
        <b/>
        <sz val="12"/>
        <rFont val="宋体"/>
        <family val="3"/>
        <charset val="134"/>
      </rPr>
      <t xml:space="preserve">肝脏：
</t>
    </r>
    <r>
      <rPr>
        <sz val="12"/>
        <rFont val="宋体"/>
        <family val="3"/>
        <charset val="134"/>
      </rPr>
      <t>待测物：</t>
    </r>
    <r>
      <rPr>
        <sz val="12"/>
        <rFont val="Times New Roman"/>
        <family val="1"/>
      </rPr>
      <t>PCDT024</t>
    </r>
    <r>
      <rPr>
        <sz val="12"/>
        <rFont val="宋体"/>
        <family val="3"/>
        <charset val="134"/>
      </rPr>
      <t>分子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SS</t>
    </r>
    <r>
      <rPr>
        <sz val="12"/>
        <rFont val="宋体"/>
        <family val="3"/>
        <charset val="134"/>
      </rPr>
      <t>链、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代谢产物</t>
    </r>
    <r>
      <rPr>
        <sz val="12"/>
        <color rgb="FF0000FF"/>
        <rFont val="宋体"/>
        <family val="3"/>
        <charset val="134"/>
      </rPr>
      <t>（代谢产物数量待定）</t>
    </r>
    <r>
      <rPr>
        <sz val="12"/>
        <rFont val="宋体"/>
        <family val="3"/>
        <charset val="134"/>
      </rPr>
      <t>；
组别：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+3</t>
    </r>
    <r>
      <rPr>
        <sz val="12"/>
        <rFont val="宋体"/>
        <family val="3"/>
        <charset val="134"/>
      </rPr>
      <t>个剂量组】，共计</t>
    </r>
    <r>
      <rPr>
        <sz val="12"/>
        <rFont val="Times New Roman"/>
        <family val="1"/>
      </rPr>
      <t>120</t>
    </r>
    <r>
      <rPr>
        <sz val="12"/>
        <rFont val="宋体"/>
        <family val="3"/>
        <charset val="134"/>
      </rPr>
      <t>个样本</t>
    </r>
    <r>
      <rPr>
        <sz val="12"/>
        <rFont val="Times New Roman"/>
        <family val="1"/>
      </rPr>
      <t>+10%ISR</t>
    </r>
    <r>
      <rPr>
        <sz val="12"/>
        <rFont val="宋体"/>
        <family val="3"/>
        <charset val="134"/>
      </rPr>
      <t>，样本检测、数据分析；</t>
    </r>
    <phoneticPr fontId="54" type="noConversion"/>
  </si>
  <si>
    <r>
      <rPr>
        <b/>
        <sz val="12"/>
        <color theme="1"/>
        <rFont val="Times New Roman"/>
        <family val="1"/>
      </rPr>
      <t>ELISA</t>
    </r>
    <r>
      <rPr>
        <b/>
        <sz val="12"/>
        <color theme="1"/>
        <rFont val="宋体"/>
        <family val="3"/>
        <charset val="134"/>
      </rPr>
      <t>方法：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个剂量组】，样本确证，共计</t>
    </r>
    <r>
      <rPr>
        <sz val="12"/>
        <color theme="1"/>
        <rFont val="Times New Roman"/>
        <family val="1"/>
      </rPr>
      <t>128</t>
    </r>
    <r>
      <rPr>
        <sz val="12"/>
        <color theme="1"/>
        <rFont val="宋体"/>
        <family val="3"/>
        <charset val="134"/>
      </rPr>
      <t>个样本（暂定）</t>
    </r>
    <phoneticPr fontId="54" type="noConversion"/>
  </si>
  <si>
    <r>
      <rPr>
        <sz val="12"/>
        <rFont val="宋体"/>
        <family val="3"/>
        <charset val="134"/>
      </rPr>
      <t>确证：</t>
    </r>
    <r>
      <rPr>
        <sz val="12"/>
        <rFont val="Times New Roman"/>
        <family val="1"/>
      </rPr>
      <t>256*50%=128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方法确证单价；</t>
    </r>
    <phoneticPr fontId="54" type="noConversion"/>
  </si>
  <si>
    <r>
      <rPr>
        <sz val="12"/>
        <rFont val="宋体"/>
        <family val="3"/>
        <charset val="134"/>
      </rPr>
      <t>滴度：</t>
    </r>
    <r>
      <rPr>
        <sz val="12"/>
        <rFont val="Times New Roman"/>
        <family val="1"/>
      </rPr>
      <t>128*50%=64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方法滴度单价；</t>
    </r>
    <phoneticPr fontId="54" type="noConversion"/>
  </si>
  <si>
    <r>
      <rPr>
        <b/>
        <sz val="12"/>
        <color theme="1"/>
        <rFont val="Times New Roman"/>
        <family val="1"/>
      </rPr>
      <t>ELISA</t>
    </r>
    <r>
      <rPr>
        <b/>
        <sz val="12"/>
        <color theme="1"/>
        <rFont val="宋体"/>
        <family val="3"/>
        <charset val="134"/>
      </rPr>
      <t>方法：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个剂量组】，滴度检测，共计</t>
    </r>
    <r>
      <rPr>
        <sz val="12"/>
        <color theme="1"/>
        <rFont val="Times New Roman"/>
        <family val="1"/>
      </rPr>
      <t>64</t>
    </r>
    <r>
      <rPr>
        <sz val="12"/>
        <color theme="1"/>
        <rFont val="宋体"/>
        <family val="3"/>
        <charset val="134"/>
      </rPr>
      <t>个样本（暂定）</t>
    </r>
    <phoneticPr fontId="54" type="noConversion"/>
  </si>
  <si>
    <r>
      <rPr>
        <b/>
        <sz val="12"/>
        <color theme="1"/>
        <rFont val="Times New Roman"/>
        <family val="1"/>
      </rPr>
      <t>ELISA</t>
    </r>
    <r>
      <rPr>
        <b/>
        <sz val="12"/>
        <color theme="1"/>
        <rFont val="宋体"/>
        <family val="3"/>
        <charset val="134"/>
      </rPr>
      <t>方法：</t>
    </r>
    <r>
      <rPr>
        <b/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个剂量组】，样本确证，共计</t>
    </r>
    <r>
      <rPr>
        <sz val="12"/>
        <color theme="1"/>
        <rFont val="Times New Roman"/>
        <family val="1"/>
      </rPr>
      <t>136</t>
    </r>
    <r>
      <rPr>
        <sz val="12"/>
        <color theme="1"/>
        <rFont val="宋体"/>
        <family val="3"/>
        <charset val="134"/>
      </rPr>
      <t>个（暂定）</t>
    </r>
    <phoneticPr fontId="54" type="noConversion"/>
  </si>
  <si>
    <r>
      <t>ELISA</t>
    </r>
    <r>
      <rPr>
        <sz val="12"/>
        <color theme="1"/>
        <rFont val="宋体"/>
        <family val="3"/>
        <charset val="134"/>
      </rPr>
      <t>方法：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组【对照组</t>
    </r>
    <r>
      <rPr>
        <sz val="12"/>
        <color theme="1"/>
        <rFont val="Times New Roman"/>
        <family val="1"/>
      </rPr>
      <t>+3</t>
    </r>
    <r>
      <rPr>
        <sz val="12"/>
        <color theme="1"/>
        <rFont val="宋体"/>
        <family val="3"/>
        <charset val="134"/>
      </rPr>
      <t>个剂量组】，滴度检测，共计</t>
    </r>
    <r>
      <rPr>
        <sz val="12"/>
        <color theme="1"/>
        <rFont val="Times New Roman"/>
        <family val="1"/>
      </rPr>
      <t>68</t>
    </r>
    <r>
      <rPr>
        <sz val="12"/>
        <color theme="1"/>
        <rFont val="宋体"/>
        <family val="3"/>
        <charset val="134"/>
      </rPr>
      <t>个（暂定）</t>
    </r>
    <phoneticPr fontId="54" type="noConversion"/>
  </si>
  <si>
    <r>
      <rPr>
        <sz val="12"/>
        <rFont val="宋体"/>
        <family val="3"/>
        <charset val="134"/>
      </rPr>
      <t>样本确证：</t>
    </r>
    <r>
      <rPr>
        <sz val="12"/>
        <rFont val="Times New Roman"/>
        <family val="1"/>
      </rPr>
      <t>136*50%=68</t>
    </r>
    <r>
      <rPr>
        <sz val="12"/>
        <rFont val="宋体"/>
        <family val="3"/>
        <charset val="134"/>
      </rPr>
      <t xml:space="preserve">个
</t>
    </r>
    <r>
      <rPr>
        <b/>
        <sz val="12"/>
        <color rgb="FFFF0000"/>
        <rFont val="宋体"/>
        <family val="3"/>
        <charset val="134"/>
      </rPr>
      <t>请报</t>
    </r>
    <r>
      <rPr>
        <b/>
        <sz val="12"/>
        <color rgb="FFFF0000"/>
        <rFont val="Times New Roman"/>
        <family val="1"/>
      </rPr>
      <t>MSD</t>
    </r>
    <r>
      <rPr>
        <b/>
        <sz val="12"/>
        <color rgb="FFFF0000"/>
        <rFont val="宋体"/>
        <family val="3"/>
        <charset val="134"/>
      </rPr>
      <t>方法滴度检测单价；</t>
    </r>
    <phoneticPr fontId="54" type="noConversion"/>
  </si>
  <si>
    <r>
      <rPr>
        <b/>
        <sz val="12"/>
        <rFont val="宋体"/>
        <family val="3"/>
        <charset val="134"/>
      </rPr>
      <t xml:space="preserve">血浆：
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
待测物：</t>
    </r>
    <r>
      <rPr>
        <sz val="12"/>
        <rFont val="Times New Roman"/>
        <family val="1"/>
      </rPr>
      <t>PCDT024</t>
    </r>
    <r>
      <rPr>
        <sz val="12"/>
        <rFont val="宋体"/>
        <family val="3"/>
        <charset val="134"/>
      </rPr>
      <t>和替代分子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SS</t>
    </r>
    <r>
      <rPr>
        <sz val="12"/>
        <rFont val="宋体"/>
        <family val="3"/>
        <charset val="134"/>
      </rPr>
      <t>链、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个代谢产物（代谢产物数量待定）；
共计约</t>
    </r>
    <r>
      <rPr>
        <sz val="12"/>
        <rFont val="Times New Roman"/>
        <family val="1"/>
      </rPr>
      <t>XX</t>
    </r>
    <r>
      <rPr>
        <sz val="12"/>
        <rFont val="宋体"/>
        <family val="3"/>
        <charset val="134"/>
      </rPr>
      <t>个样本</t>
    </r>
    <r>
      <rPr>
        <sz val="12"/>
        <rFont val="Times New Roman"/>
        <family val="1"/>
      </rPr>
      <t>+10%ISR</t>
    </r>
    <r>
      <rPr>
        <sz val="12"/>
        <rFont val="宋体"/>
        <family val="3"/>
        <charset val="134"/>
      </rPr>
      <t xml:space="preserve">，样本检测、数据分析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参数计算、分析</t>
    </r>
    <phoneticPr fontId="54" type="noConversion"/>
  </si>
  <si>
    <r>
      <rPr>
        <b/>
        <sz val="12"/>
        <rFont val="宋体"/>
        <family val="3"/>
        <charset val="134"/>
      </rPr>
      <t xml:space="preserve">肝脏、胎盘：
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
待测物：</t>
    </r>
    <r>
      <rPr>
        <sz val="12"/>
        <rFont val="Times New Roman"/>
        <family val="1"/>
      </rPr>
      <t>PCDT024</t>
    </r>
    <r>
      <rPr>
        <sz val="12"/>
        <rFont val="宋体"/>
        <family val="3"/>
        <charset val="134"/>
      </rPr>
      <t>和替代分子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SS</t>
    </r>
    <r>
      <rPr>
        <sz val="12"/>
        <rFont val="宋体"/>
        <family val="3"/>
        <charset val="134"/>
      </rPr>
      <t>链、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个代谢产物（代谢产物数量待定）；
共计约</t>
    </r>
    <r>
      <rPr>
        <sz val="12"/>
        <rFont val="Times New Roman"/>
        <family val="1"/>
      </rPr>
      <t>XX</t>
    </r>
    <r>
      <rPr>
        <sz val="12"/>
        <rFont val="宋体"/>
        <family val="3"/>
        <charset val="134"/>
      </rPr>
      <t>个样本</t>
    </r>
    <r>
      <rPr>
        <sz val="12"/>
        <rFont val="Times New Roman"/>
        <family val="1"/>
      </rPr>
      <t>+10%ISR</t>
    </r>
    <r>
      <rPr>
        <sz val="12"/>
        <rFont val="宋体"/>
        <family val="3"/>
        <charset val="134"/>
      </rPr>
      <t xml:space="preserve">，样本检测、数据分析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参数计算、分析</t>
    </r>
    <phoneticPr fontId="54" type="noConversion"/>
  </si>
  <si>
    <r>
      <rPr>
        <b/>
        <sz val="12"/>
        <rFont val="宋体"/>
        <family val="3"/>
        <charset val="134"/>
      </rPr>
      <t xml:space="preserve">血浆、肝脏：
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组【对照组</t>
    </r>
    <r>
      <rPr>
        <sz val="12"/>
        <rFont val="Times New Roman"/>
        <family val="1"/>
      </rPr>
      <t>+4</t>
    </r>
    <r>
      <rPr>
        <sz val="12"/>
        <rFont val="宋体"/>
        <family val="3"/>
        <charset val="134"/>
      </rPr>
      <t>个剂量组】，
待测物：</t>
    </r>
    <r>
      <rPr>
        <sz val="12"/>
        <rFont val="Times New Roman"/>
        <family val="1"/>
      </rPr>
      <t>PCDT024</t>
    </r>
    <r>
      <rPr>
        <sz val="12"/>
        <rFont val="宋体"/>
        <family val="3"/>
        <charset val="134"/>
      </rPr>
      <t>和替代分子</t>
    </r>
    <r>
      <rPr>
        <sz val="12"/>
        <rFont val="Times New Roman"/>
        <family val="1"/>
      </rPr>
      <t>AS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SS</t>
    </r>
    <r>
      <rPr>
        <sz val="12"/>
        <rFont val="宋体"/>
        <family val="3"/>
        <charset val="134"/>
      </rPr>
      <t>链、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个代谢产物（代谢产物数量待定）；
共计约</t>
    </r>
    <r>
      <rPr>
        <sz val="12"/>
        <rFont val="Times New Roman"/>
        <family val="1"/>
      </rPr>
      <t>XX</t>
    </r>
    <r>
      <rPr>
        <sz val="12"/>
        <rFont val="宋体"/>
        <family val="3"/>
        <charset val="134"/>
      </rPr>
      <t>个样本</t>
    </r>
    <r>
      <rPr>
        <sz val="12"/>
        <rFont val="Times New Roman"/>
        <family val="1"/>
      </rPr>
      <t>+10%ISR</t>
    </r>
    <r>
      <rPr>
        <sz val="12"/>
        <rFont val="宋体"/>
        <family val="3"/>
        <charset val="134"/>
      </rPr>
      <t xml:space="preserve">，样本检测、数据分析
</t>
    </r>
    <r>
      <rPr>
        <sz val="12"/>
        <rFont val="Times New Roman"/>
        <family val="1"/>
      </rPr>
      <t>TK</t>
    </r>
    <r>
      <rPr>
        <sz val="12"/>
        <rFont val="宋体"/>
        <family val="3"/>
        <charset val="134"/>
      </rPr>
      <t>参数计算、分析</t>
    </r>
    <phoneticPr fontId="54" type="noConversion"/>
  </si>
  <si>
    <r>
      <rPr>
        <sz val="12"/>
        <rFont val="宋体"/>
        <family val="3"/>
        <charset val="134"/>
      </rPr>
      <t>动物数量请以贵单位试验设计计算，需要满足统计学需求；
样本量：动物数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组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组别数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 xml:space="preserve">采血点数量；数量以实际发生为准；
</t>
    </r>
    <r>
      <rPr>
        <sz val="12"/>
        <color rgb="FFFF0000"/>
        <rFont val="宋体"/>
        <family val="3"/>
        <charset val="134"/>
      </rPr>
      <t>（</t>
    </r>
    <r>
      <rPr>
        <sz val="12"/>
        <color rgb="FFFF0000"/>
        <rFont val="Times New Roman"/>
        <family val="1"/>
      </rPr>
      <t>ADA</t>
    </r>
    <r>
      <rPr>
        <sz val="12"/>
        <color rgb="FFFF0000"/>
        <rFont val="宋体"/>
        <family val="3"/>
        <charset val="134"/>
      </rPr>
      <t>检测点可根据机构</t>
    </r>
    <r>
      <rPr>
        <sz val="12"/>
        <color rgb="FFFF0000"/>
        <rFont val="Times New Roman"/>
        <family val="1"/>
      </rPr>
      <t>IACUC</t>
    </r>
    <r>
      <rPr>
        <sz val="12"/>
        <color rgb="FFFF0000"/>
        <rFont val="宋体"/>
        <family val="3"/>
        <charset val="134"/>
      </rPr>
      <t>要求调整）</t>
    </r>
    <r>
      <rPr>
        <sz val="12"/>
        <rFont val="宋体"/>
        <family val="3"/>
        <charset val="134"/>
      </rPr>
      <t xml:space="preserve">
</t>
    </r>
    <r>
      <rPr>
        <b/>
        <sz val="12"/>
        <color rgb="FFFF0000"/>
        <rFont val="Times New Roman"/>
        <family val="1"/>
      </rPr>
      <t>ADA</t>
    </r>
    <r>
      <rPr>
        <b/>
        <sz val="12"/>
        <color rgb="FFFF0000"/>
        <rFont val="宋体"/>
        <family val="3"/>
        <charset val="134"/>
      </rPr>
      <t>筛选、验证及滴度单价：</t>
    </r>
    <phoneticPr fontId="54" type="noConversion"/>
  </si>
  <si>
    <r>
      <rPr>
        <sz val="12"/>
        <rFont val="宋体"/>
        <family val="3"/>
        <charset val="134"/>
      </rPr>
      <t>动物数量请以贵单位试验设计计算，需要满足统计学需求；
样本量：动物数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组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>组别数</t>
    </r>
    <r>
      <rPr>
        <sz val="12"/>
        <rFont val="Times New Roman"/>
        <family val="1"/>
      </rPr>
      <t>*</t>
    </r>
    <r>
      <rPr>
        <sz val="12"/>
        <rFont val="宋体"/>
        <family val="3"/>
        <charset val="134"/>
      </rPr>
      <t xml:space="preserve">采血点数量；数量以实际发生为准；
</t>
    </r>
    <r>
      <rPr>
        <b/>
        <sz val="12"/>
        <color rgb="FFFF0000"/>
        <rFont val="Times New Roman"/>
        <family val="1"/>
      </rPr>
      <t>ADA</t>
    </r>
    <r>
      <rPr>
        <b/>
        <sz val="12"/>
        <color rgb="FFFF0000"/>
        <rFont val="宋体"/>
        <family val="3"/>
        <charset val="134"/>
      </rPr>
      <t>筛选、验证及滴度单价：</t>
    </r>
    <phoneticPr fontId="54" type="noConversion"/>
  </si>
  <si>
    <r>
      <rPr>
        <sz val="12"/>
        <color rgb="FF000000"/>
        <rFont val="宋体"/>
        <family val="3"/>
        <charset val="134"/>
      </rPr>
      <t>□创新靶点小分子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宋体"/>
        <family val="3"/>
        <charset val="134"/>
      </rPr>
      <t>□单抗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宋体"/>
        <family val="3"/>
        <charset val="134"/>
      </rPr>
      <t>□新型抗体类药物（双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多特异性抗体）□</t>
    </r>
    <r>
      <rPr>
        <sz val="12"/>
        <color rgb="FF000000"/>
        <rFont val="Times New Roman"/>
        <family val="1"/>
      </rPr>
      <t xml:space="preserve">ADC </t>
    </r>
    <r>
      <rPr>
        <b/>
        <sz val="12"/>
        <color rgb="FF000000"/>
        <rFont val="宋体"/>
        <family val="3"/>
        <charset val="134"/>
      </rPr>
      <t>■</t>
    </r>
    <r>
      <rPr>
        <sz val="12"/>
        <color rgb="FF000000"/>
        <rFont val="宋体"/>
        <family val="3"/>
        <charset val="134"/>
      </rPr>
      <t>小核酸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</rPr>
      <t>□基因治疗产品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</rPr>
      <t>□细胞治疗产品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</rPr>
      <t>□多肽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</rPr>
      <t>□</t>
    </r>
    <r>
      <rPr>
        <sz val="12"/>
        <color rgb="FF000000"/>
        <rFont val="Times New Roman"/>
        <family val="1"/>
      </rPr>
      <t xml:space="preserve">PROTAC  </t>
    </r>
    <r>
      <rPr>
        <sz val="12"/>
        <color rgb="FF000000"/>
        <rFont val="宋体"/>
        <family val="3"/>
        <charset val="134"/>
      </rPr>
      <t>□溶瘤病毒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</rPr>
      <t>□透皮贴剂</t>
    </r>
    <r>
      <rPr>
        <sz val="12"/>
        <color rgb="FF000000"/>
        <rFont val="Times New Roman"/>
        <family val="1"/>
      </rPr>
      <t xml:space="preserve">TDDS  </t>
    </r>
    <r>
      <rPr>
        <sz val="12"/>
        <color rgb="FF000000"/>
        <rFont val="宋体"/>
        <family val="3"/>
        <charset val="134"/>
      </rPr>
      <t>□其它</t>
    </r>
    <r>
      <rPr>
        <u/>
        <sz val="12"/>
        <color rgb="FF000000"/>
        <rFont val="Times New Roman"/>
        <family val="1"/>
      </rPr>
      <t xml:space="preserve">                      </t>
    </r>
    <phoneticPr fontId="54" type="noConversion"/>
  </si>
  <si>
    <r>
      <rPr>
        <sz val="12"/>
        <color theme="1"/>
        <rFont val="宋体"/>
        <family val="3"/>
        <charset val="134"/>
      </rPr>
      <t>中美申报，需同时符合</t>
    </r>
    <r>
      <rPr>
        <sz val="12"/>
        <color theme="1"/>
        <rFont val="Times New Roman"/>
        <family val="1"/>
      </rPr>
      <t>NMPA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FDA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OECD GLP</t>
    </r>
    <r>
      <rPr>
        <sz val="12"/>
        <color theme="1"/>
        <rFont val="宋体"/>
        <family val="3"/>
        <charset val="134"/>
      </rPr>
      <t>要求</t>
    </r>
    <phoneticPr fontId="54" type="noConversion"/>
  </si>
  <si>
    <r>
      <rPr>
        <sz val="12"/>
        <rFont val="宋体"/>
        <family val="3"/>
        <charset val="134"/>
      </rPr>
      <t>于收到第一批次样品后</t>
    </r>
    <r>
      <rPr>
        <sz val="12"/>
        <rFont val="Times New Roman"/>
        <family val="1"/>
      </rPr>
      <t>15</t>
    </r>
    <r>
      <rPr>
        <sz val="12"/>
        <rFont val="宋体"/>
        <family val="3"/>
        <charset val="134"/>
      </rPr>
      <t>个月提供食蟹猴一般毒试验中文报告，伴随开展的试验需单独出具报告；
于收到第二批次样品后</t>
    </r>
    <r>
      <rPr>
        <sz val="12"/>
        <rFont val="Times New Roman"/>
        <family val="1"/>
      </rPr>
      <t>12</t>
    </r>
    <r>
      <rPr>
        <sz val="12"/>
        <rFont val="宋体"/>
        <family val="3"/>
        <charset val="134"/>
      </rPr>
      <t>个月提供大鼠一般毒试验中文报告，伴随开展的试验需单独出具报告；
于收到第三批次样品后</t>
    </r>
    <r>
      <rPr>
        <sz val="12"/>
        <rFont val="Times New Roman"/>
        <family val="1"/>
      </rPr>
      <t>6</t>
    </r>
    <r>
      <rPr>
        <sz val="12"/>
        <rFont val="宋体"/>
        <family val="3"/>
        <charset val="134"/>
      </rPr>
      <t>个月提供生殖毒性试验中文报告；
于提供定稿中文报告后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个月提供英文报告；</t>
    </r>
    <phoneticPr fontId="54" type="noConversion"/>
  </si>
  <si>
    <r>
      <rPr>
        <sz val="12"/>
        <color theme="1"/>
        <rFont val="宋体"/>
        <family val="3"/>
        <charset val="134"/>
      </rPr>
      <t>供试品分析方法学重现和验证（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个，</t>
    </r>
    <r>
      <rPr>
        <sz val="12"/>
        <color theme="1"/>
        <rFont val="Times New Roman"/>
        <family val="3"/>
      </rPr>
      <t>PCDT024</t>
    </r>
    <r>
      <rPr>
        <sz val="12"/>
        <color theme="1"/>
        <rFont val="宋体"/>
        <family val="3"/>
        <charset val="134"/>
      </rPr>
      <t>及替代分子）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3"/>
        <charset val="134"/>
      </rPr>
      <t>生物分析方法学重现和验证（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个）
免疫原性分析方法学开发、重现和验证（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个）</t>
    </r>
    <phoneticPr fontId="54" type="noConversion"/>
  </si>
  <si>
    <r>
      <rPr>
        <sz val="12"/>
        <color rgb="FF000000"/>
        <rFont val="宋体"/>
        <family val="3"/>
        <charset val="134"/>
      </rPr>
      <t>合计</t>
    </r>
    <r>
      <rPr>
        <sz val="12"/>
        <color rgb="FF000000"/>
        <rFont val="Times New Roman"/>
        <family val="1"/>
      </rPr>
      <t>152</t>
    </r>
    <r>
      <rPr>
        <sz val="12"/>
        <color rgb="FF000000"/>
        <rFont val="宋体"/>
        <family val="3"/>
        <charset val="134"/>
      </rPr>
      <t>只，雌雄各半；
其中：
主试验组：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组【对照组</t>
    </r>
    <r>
      <rPr>
        <sz val="12"/>
        <color rgb="FF000000"/>
        <rFont val="Times New Roman"/>
        <family val="1"/>
      </rPr>
      <t>+3</t>
    </r>
    <r>
      <rPr>
        <sz val="12"/>
        <color rgb="FF000000"/>
        <rFont val="宋体"/>
        <family val="3"/>
        <charset val="134"/>
      </rPr>
      <t>个剂量组】，</t>
    </r>
    <r>
      <rPr>
        <sz val="12"/>
        <color rgb="FF000000"/>
        <rFont val="Times New Roman"/>
        <family val="1"/>
      </rPr>
      <t>30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组（雌雄各半），其中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 xml:space="preserve">组（雌雄各半）进入恢复期；
</t>
    </r>
    <r>
      <rPr>
        <sz val="12"/>
        <color rgb="FF000000"/>
        <rFont val="Times New Roman"/>
        <family val="1"/>
      </rPr>
      <t>TK</t>
    </r>
    <r>
      <rPr>
        <sz val="12"/>
        <color rgb="FF000000"/>
        <rFont val="宋体"/>
        <family val="3"/>
        <charset val="134"/>
      </rPr>
      <t xml:space="preserve">卫星组：
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组【对照组</t>
    </r>
    <r>
      <rPr>
        <sz val="12"/>
        <color rgb="FF000000"/>
        <rFont val="Times New Roman"/>
        <family val="1"/>
      </rPr>
      <t>+3</t>
    </r>
    <r>
      <rPr>
        <sz val="12"/>
        <color rgb="FF000000"/>
        <rFont val="宋体"/>
        <family val="3"/>
        <charset val="134"/>
      </rPr>
      <t>个剂量组】，</t>
    </r>
    <r>
      <rPr>
        <sz val="12"/>
        <color rgb="FF000000"/>
        <rFont val="Times New Roman"/>
        <family val="1"/>
      </rPr>
      <t xml:space="preserve"> 8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组（暂定）</t>
    </r>
    <phoneticPr fontId="54" type="noConversion"/>
  </si>
  <si>
    <r>
      <rPr>
        <sz val="12"/>
        <color rgb="FF000000"/>
        <rFont val="宋体"/>
        <family val="3"/>
        <charset val="134"/>
      </rPr>
      <t>合计</t>
    </r>
    <r>
      <rPr>
        <sz val="12"/>
        <color rgb="FF000000"/>
        <rFont val="Times New Roman"/>
        <family val="1"/>
      </rPr>
      <t>40</t>
    </r>
    <r>
      <rPr>
        <sz val="12"/>
        <color rgb="FF000000"/>
        <rFont val="宋体"/>
        <family val="3"/>
        <charset val="134"/>
      </rPr>
      <t xml:space="preserve">只，雌雄各半；
其中：
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组【对照组</t>
    </r>
    <r>
      <rPr>
        <sz val="12"/>
        <color rgb="FF000000"/>
        <rFont val="Times New Roman"/>
        <family val="1"/>
      </rPr>
      <t>+3</t>
    </r>
    <r>
      <rPr>
        <sz val="12"/>
        <color rgb="FF000000"/>
        <rFont val="宋体"/>
        <family val="3"/>
        <charset val="134"/>
      </rPr>
      <t>个剂量组】，共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组（雌雄各半）；其中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组（雌雄各半）进入恢复期；</t>
    </r>
    <phoneticPr fontId="54" type="noConversion"/>
  </si>
  <si>
    <t>仅报单价，本次合计报价不包含该部分的价格（根据实际数量结算）</t>
    <phoneticPr fontId="54" type="noConversion"/>
  </si>
  <si>
    <t>仅报单价，本次合计报价不包含该部分的价格；</t>
    <phoneticPr fontId="54" type="noConversion"/>
  </si>
  <si>
    <r>
      <rPr>
        <sz val="12"/>
        <color rgb="FF000000"/>
        <rFont val="宋体"/>
        <family val="3"/>
        <charset val="134"/>
      </rPr>
      <t>对照组、高剂量组及大体解剖异常动物全部脏器进行组织病理学检查，如高剂量组动物某一组织发生病理改变，需要对其他剂量组动物的相同组织进行组织病理学检查【共计</t>
    </r>
    <r>
      <rPr>
        <sz val="12"/>
        <color rgb="FF000000"/>
        <rFont val="Times New Roman"/>
        <family val="1"/>
      </rPr>
      <t>2700</t>
    </r>
    <r>
      <rPr>
        <sz val="12"/>
        <color rgb="FF000000"/>
        <rFont val="宋体"/>
        <family val="3"/>
        <charset val="134"/>
      </rPr>
      <t>（对照组</t>
    </r>
    <r>
      <rPr>
        <sz val="12"/>
        <color rgb="FF000000"/>
        <rFont val="Times New Roman"/>
        <family val="1"/>
      </rPr>
      <t>+</t>
    </r>
    <r>
      <rPr>
        <sz val="12"/>
        <color rgb="FF000000"/>
        <rFont val="宋体"/>
        <family val="3"/>
        <charset val="134"/>
      </rPr>
      <t>供试品高剂量组）张片子】</t>
    </r>
    <phoneticPr fontId="54" type="noConversion"/>
  </si>
  <si>
    <t>例</t>
    <phoneticPr fontId="54" type="noConversion"/>
  </si>
  <si>
    <r>
      <rPr>
        <sz val="12"/>
        <rFont val="宋体"/>
        <family val="3"/>
        <charset val="134"/>
      </rPr>
      <t>对照：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周期
供试品组：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*8</t>
    </r>
    <r>
      <rPr>
        <sz val="12"/>
        <rFont val="宋体"/>
        <family val="3"/>
        <charset val="134"/>
      </rPr>
      <t>点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>周期</t>
    </r>
    <r>
      <rPr>
        <sz val="12"/>
        <rFont val="Times New Roman"/>
        <family val="1"/>
      </rPr>
      <t>+8</t>
    </r>
    <r>
      <rPr>
        <sz val="12"/>
        <rFont val="宋体"/>
        <family val="3"/>
        <charset val="134"/>
      </rPr>
      <t>只</t>
    </r>
    <r>
      <rPr>
        <sz val="12"/>
        <rFont val="Times New Roman"/>
        <family val="1"/>
      </rPr>
      <t>*3</t>
    </r>
    <r>
      <rPr>
        <sz val="12"/>
        <rFont val="宋体"/>
        <family val="3"/>
        <charset val="134"/>
      </rPr>
      <t>个剂量组</t>
    </r>
    <r>
      <rPr>
        <sz val="12"/>
        <rFont val="Times New Roman"/>
        <family val="1"/>
      </rPr>
      <t>*2</t>
    </r>
    <r>
      <rPr>
        <sz val="12"/>
        <rFont val="宋体"/>
        <family val="3"/>
        <charset val="134"/>
      </rPr>
      <t xml:space="preserve">点
</t>
    </r>
    <r>
      <rPr>
        <sz val="12"/>
        <rFont val="Times New Roman"/>
        <family val="1"/>
      </rPr>
      <t>10%ISR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464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 xml:space="preserve">*10%
</t>
    </r>
    <r>
      <rPr>
        <b/>
        <sz val="12"/>
        <color rgb="FFFF0000"/>
        <rFont val="宋体"/>
        <family val="3"/>
        <charset val="134"/>
      </rPr>
      <t>请报单个代谢产物检测单价：</t>
    </r>
    <phoneticPr fontId="54" type="noConversion"/>
  </si>
  <si>
    <t>/</t>
    <phoneticPr fontId="54" type="noConversion"/>
  </si>
  <si>
    <t>例</t>
    <phoneticPr fontId="54" type="noConversion"/>
  </si>
  <si>
    <t>/</t>
    <phoneticPr fontId="54" type="noConversion"/>
  </si>
  <si>
    <r>
      <rPr>
        <sz val="12"/>
        <color theme="1"/>
        <rFont val="宋体"/>
        <family val="3"/>
        <charset val="134"/>
      </rPr>
      <t>大鼠重复给药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1"/>
        <charset val="134"/>
      </rPr>
      <t>周</t>
    </r>
    <r>
      <rPr>
        <sz val="12"/>
        <color theme="1"/>
        <rFont val="宋体"/>
        <family val="3"/>
        <charset val="134"/>
      </rPr>
      <t>恢复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周毒性试验
食蟹猴重复给药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1"/>
        <charset val="134"/>
      </rPr>
      <t>周</t>
    </r>
    <r>
      <rPr>
        <sz val="12"/>
        <color theme="1"/>
        <rFont val="宋体"/>
        <family val="3"/>
        <charset val="134"/>
      </rPr>
      <t>恢复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周毒性试验
大鼠Ⅰ段生殖毒性正式试验
大鼠和家兔Ⅱ段生殖毒性正式试验</t>
    </r>
    <phoneticPr fontId="54" type="noConversion"/>
  </si>
  <si>
    <r>
      <rPr>
        <sz val="12"/>
        <color theme="1"/>
        <rFont val="宋体"/>
        <family val="3"/>
        <charset val="134"/>
      </rPr>
      <t>制剂分析方法学验证报告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个</t>
    </r>
    <r>
      <rPr>
        <sz val="12"/>
        <color theme="1"/>
        <rFont val="宋体"/>
        <family val="3"/>
        <charset val="134"/>
      </rPr>
      <t>，具体根据机构</t>
    </r>
    <r>
      <rPr>
        <sz val="12"/>
        <color theme="1"/>
        <rFont val="Times New Roman"/>
        <family val="1"/>
      </rPr>
      <t>SOP</t>
    </r>
    <r>
      <rPr>
        <sz val="12"/>
        <color theme="1"/>
        <rFont val="宋体"/>
        <family val="3"/>
        <charset val="134"/>
      </rPr>
      <t>确认）
生物分析方法学验证报告（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个，具体根据机构</t>
    </r>
    <r>
      <rPr>
        <sz val="12"/>
        <color theme="1"/>
        <rFont val="Times New Roman"/>
        <family val="1"/>
      </rPr>
      <t>SOP</t>
    </r>
    <r>
      <rPr>
        <sz val="12"/>
        <color theme="1"/>
        <rFont val="宋体"/>
        <family val="3"/>
        <charset val="134"/>
      </rPr>
      <t xml:space="preserve">确认）
</t>
    </r>
    <r>
      <rPr>
        <sz val="12"/>
        <color theme="1"/>
        <rFont val="Times New Roman"/>
        <family val="1"/>
      </rPr>
      <t>ADA</t>
    </r>
    <r>
      <rPr>
        <sz val="12"/>
        <color theme="1"/>
        <rFont val="宋体"/>
        <family val="3"/>
        <charset val="134"/>
      </rPr>
      <t>分析方法学验证报告（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个，具体根据机构</t>
    </r>
    <r>
      <rPr>
        <sz val="12"/>
        <color theme="1"/>
        <rFont val="Times New Roman"/>
        <family val="1"/>
      </rPr>
      <t>SOP</t>
    </r>
    <r>
      <rPr>
        <sz val="12"/>
        <color theme="1"/>
        <rFont val="宋体"/>
        <family val="3"/>
        <charset val="134"/>
      </rPr>
      <t>确认）
大鼠重复给药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1"/>
        <charset val="134"/>
      </rPr>
      <t>周</t>
    </r>
    <r>
      <rPr>
        <sz val="12"/>
        <color theme="1"/>
        <rFont val="宋体"/>
        <family val="3"/>
        <charset val="134"/>
      </rPr>
      <t>恢复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周毒性试验总结报告（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
食蟹猴重复给药</t>
    </r>
    <r>
      <rPr>
        <sz val="12"/>
        <color theme="1"/>
        <rFont val="Times New Roman"/>
        <family val="1"/>
      </rPr>
      <t>40</t>
    </r>
    <r>
      <rPr>
        <sz val="12"/>
        <color theme="1"/>
        <rFont val="宋体"/>
        <family val="1"/>
        <charset val="134"/>
      </rPr>
      <t>周</t>
    </r>
    <r>
      <rPr>
        <sz val="12"/>
        <color theme="1"/>
        <rFont val="宋体"/>
        <family val="3"/>
        <charset val="134"/>
      </rPr>
      <t>恢复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周毒性试验总结报告（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
毒代动力学报告（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个，具体根据机构</t>
    </r>
    <r>
      <rPr>
        <sz val="12"/>
        <color theme="1"/>
        <rFont val="Times New Roman"/>
        <family val="1"/>
      </rPr>
      <t>SOP</t>
    </r>
    <r>
      <rPr>
        <sz val="12"/>
        <color theme="1"/>
        <rFont val="宋体"/>
        <family val="3"/>
        <charset val="134"/>
      </rPr>
      <t>确认）
病理报告（</t>
    </r>
    <r>
      <rPr>
        <sz val="12"/>
        <color theme="1"/>
        <rFont val="Times New Roman"/>
        <family val="1"/>
      </rPr>
      <t>5</t>
    </r>
    <r>
      <rPr>
        <sz val="12"/>
        <color theme="1"/>
        <rFont val="宋体"/>
        <family val="3"/>
        <charset val="134"/>
      </rPr>
      <t>个）
伴随局部刺激性报告（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个）
伴随安全药理报告（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
伴随免疫原性报告（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个）
伴随免疫毒性报告（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个）
大鼠Ⅰ段生殖毒正式试验总结报告（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
大鼠Ⅱ段生殖毒正式试验总结报告（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
家兔Ⅱ段生殖毒正式试验总结报告（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个）</t>
    </r>
    <phoneticPr fontId="54" type="noConversion"/>
  </si>
  <si>
    <r>
      <rPr>
        <b/>
        <sz val="12"/>
        <color rgb="FF000000"/>
        <rFont val="宋体"/>
        <family val="3"/>
        <charset val="134"/>
      </rPr>
      <t>大鼠重复给药</t>
    </r>
    <r>
      <rPr>
        <b/>
        <sz val="12"/>
        <color rgb="FF000000"/>
        <rFont val="Times New Roman"/>
        <family val="1"/>
      </rPr>
      <t>28</t>
    </r>
    <r>
      <rPr>
        <b/>
        <sz val="12"/>
        <color rgb="FF000000"/>
        <rFont val="宋体"/>
        <family val="1"/>
        <charset val="134"/>
      </rPr>
      <t>周</t>
    </r>
    <r>
      <rPr>
        <b/>
        <sz val="12"/>
        <color rgb="FF000000"/>
        <rFont val="宋体"/>
        <family val="3"/>
        <charset val="134"/>
      </rPr>
      <t>恢复</t>
    </r>
    <r>
      <rPr>
        <b/>
        <sz val="12"/>
        <color rgb="FF000000"/>
        <rFont val="Times New Roman"/>
        <family val="1"/>
      </rPr>
      <t>8</t>
    </r>
    <r>
      <rPr>
        <b/>
        <sz val="12"/>
        <color rgb="FF000000"/>
        <rFont val="宋体"/>
        <family val="3"/>
        <charset val="134"/>
      </rPr>
      <t>周毒性试验（</t>
    </r>
    <r>
      <rPr>
        <b/>
        <sz val="12"/>
        <color rgb="FF000000"/>
        <rFont val="Times New Roman"/>
        <family val="1"/>
      </rPr>
      <t>GLP</t>
    </r>
    <r>
      <rPr>
        <b/>
        <sz val="12"/>
        <color rgb="FF000000"/>
        <rFont val="宋体"/>
        <family val="3"/>
        <charset val="134"/>
      </rPr>
      <t>）</t>
    </r>
    <phoneticPr fontId="54" type="noConversion"/>
  </si>
  <si>
    <r>
      <rPr>
        <b/>
        <sz val="12"/>
        <color rgb="FF000000"/>
        <rFont val="宋体"/>
        <family val="3"/>
        <charset val="134"/>
      </rPr>
      <t>食蟹猴重复给药</t>
    </r>
    <r>
      <rPr>
        <b/>
        <sz val="12"/>
        <color rgb="FF000000"/>
        <rFont val="Times New Roman"/>
        <family val="1"/>
      </rPr>
      <t>40</t>
    </r>
    <r>
      <rPr>
        <b/>
        <sz val="12"/>
        <color rgb="FF000000"/>
        <rFont val="宋体"/>
        <family val="1"/>
        <charset val="134"/>
      </rPr>
      <t>周</t>
    </r>
    <r>
      <rPr>
        <b/>
        <sz val="12"/>
        <color rgb="FF000000"/>
        <rFont val="宋体"/>
        <family val="3"/>
        <charset val="134"/>
      </rPr>
      <t>恢复</t>
    </r>
    <r>
      <rPr>
        <b/>
        <sz val="12"/>
        <color rgb="FF000000"/>
        <rFont val="Times New Roman"/>
        <family val="1"/>
      </rPr>
      <t>8</t>
    </r>
    <r>
      <rPr>
        <b/>
        <sz val="12"/>
        <color rgb="FF000000"/>
        <rFont val="宋体"/>
        <family val="3"/>
        <charset val="134"/>
      </rPr>
      <t>周毒性试验（</t>
    </r>
    <r>
      <rPr>
        <b/>
        <sz val="12"/>
        <color rgb="FF000000"/>
        <rFont val="Times New Roman"/>
        <family val="1"/>
      </rPr>
      <t>GLP</t>
    </r>
    <r>
      <rPr>
        <b/>
        <sz val="12"/>
        <color rgb="FF000000"/>
        <rFont val="宋体"/>
        <family val="3"/>
        <charset val="134"/>
      </rPr>
      <t>）</t>
    </r>
    <phoneticPr fontId="54" type="noConversion"/>
  </si>
  <si>
    <r>
      <t>120</t>
    </r>
    <r>
      <rPr>
        <sz val="12"/>
        <color rgb="FF000000"/>
        <rFont val="宋体"/>
        <family val="3"/>
        <charset val="134"/>
      </rPr>
      <t>只</t>
    </r>
    <r>
      <rPr>
        <sz val="12"/>
        <color rgb="FFFF0000"/>
        <rFont val="宋体"/>
        <family val="3"/>
        <charset val="134"/>
      </rPr>
      <t>，均按</t>
    </r>
    <r>
      <rPr>
        <sz val="12"/>
        <color rgb="FFFF0000"/>
        <rFont val="Times New Roman"/>
        <family val="1"/>
      </rPr>
      <t>45</t>
    </r>
    <r>
      <rPr>
        <sz val="12"/>
        <color rgb="FFFF0000"/>
        <rFont val="宋体"/>
        <family val="3"/>
        <charset val="134"/>
      </rPr>
      <t>个脏器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宋体"/>
        <family val="3"/>
        <charset val="134"/>
      </rPr>
      <t>只动物计</t>
    </r>
    <phoneticPr fontId="54" type="noConversion"/>
  </si>
  <si>
    <t>张</t>
    <phoneticPr fontId="54" type="noConversion"/>
  </si>
  <si>
    <r>
      <rPr>
        <sz val="10"/>
        <color rgb="FF000000"/>
        <rFont val="宋体"/>
        <family val="3"/>
        <charset val="134"/>
      </rPr>
      <t>大鼠重复给药</t>
    </r>
    <r>
      <rPr>
        <sz val="10"/>
        <color rgb="FF000000"/>
        <rFont val="Times New Roman"/>
        <family val="1"/>
      </rPr>
      <t>28</t>
    </r>
    <r>
      <rPr>
        <sz val="10"/>
        <color rgb="FF000000"/>
        <rFont val="宋体"/>
        <family val="1"/>
        <charset val="134"/>
      </rPr>
      <t>周</t>
    </r>
    <r>
      <rPr>
        <sz val="10"/>
        <color rgb="FF000000"/>
        <rFont val="宋体"/>
        <family val="3"/>
        <charset val="134"/>
      </rPr>
      <t>恢复</t>
    </r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周毒性试验总结报告</t>
    </r>
    <phoneticPr fontId="54" type="noConversion"/>
  </si>
  <si>
    <r>
      <rPr>
        <sz val="10"/>
        <color rgb="FF000000"/>
        <rFont val="宋体"/>
        <family val="3"/>
        <charset val="134"/>
      </rPr>
      <t>食蟹猴重复给药</t>
    </r>
    <r>
      <rPr>
        <sz val="10"/>
        <color rgb="FF000000"/>
        <rFont val="Times New Roman"/>
        <family val="1"/>
      </rPr>
      <t>40</t>
    </r>
    <r>
      <rPr>
        <sz val="10"/>
        <color rgb="FF000000"/>
        <rFont val="宋体"/>
        <family val="1"/>
        <charset val="134"/>
      </rPr>
      <t>周</t>
    </r>
    <r>
      <rPr>
        <sz val="10"/>
        <color rgb="FF000000"/>
        <rFont val="宋体"/>
        <family val="3"/>
        <charset val="134"/>
      </rPr>
      <t>恢复</t>
    </r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周毒性试验总结报告</t>
    </r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</si>
</sst>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#,##0.00_ ;[Red]\-#,##0.00\ "/>
  </numFmts>
  <fonts count="78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.5"/>
      <color rgb="FF0000FF"/>
      <name val="Times New Roman"/>
      <family val="1"/>
    </font>
    <font>
      <sz val="10.5"/>
      <color theme="1"/>
      <name val="宋体"/>
      <family val="3"/>
      <charset val="134"/>
    </font>
    <font>
      <sz val="10"/>
      <color rgb="FF000000"/>
      <name val="Times New Roman"/>
      <family val="1"/>
    </font>
    <font>
      <sz val="10.5"/>
      <color rgb="FF000000"/>
      <name val="Times New Roman"/>
      <family val="1"/>
    </font>
    <font>
      <sz val="10"/>
      <name val="Times New Roman"/>
      <family val="1"/>
    </font>
    <font>
      <sz val="10.5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宋体"/>
      <family val="3"/>
      <charset val="134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宋体"/>
      <family val="3"/>
      <charset val="134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rgb="FF000000"/>
      <name val="宋体"/>
      <family val="3"/>
      <charset val="134"/>
    </font>
    <font>
      <b/>
      <sz val="14"/>
      <color theme="1"/>
      <name val="Times New Roman"/>
      <family val="1"/>
    </font>
    <font>
      <b/>
      <sz val="10.5"/>
      <color rgb="FF000000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10.5"/>
      <color rgb="FFFF0000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rgb="FF0000FF"/>
      <name val="宋体"/>
      <family val="3"/>
      <charset val="134"/>
    </font>
    <font>
      <b/>
      <sz val="10.5"/>
      <color rgb="FF0000FF"/>
      <name val="宋体"/>
      <family val="3"/>
      <charset val="134"/>
    </font>
    <font>
      <b/>
      <sz val="10.5"/>
      <color theme="1"/>
      <name val="宋体"/>
      <family val="3"/>
      <charset val="134"/>
    </font>
    <font>
      <u/>
      <sz val="12"/>
      <color rgb="FF000000"/>
      <name val="Times New Roman"/>
      <family val="1"/>
    </font>
    <font>
      <sz val="10.5"/>
      <color rgb="FF000000"/>
      <name val="宋体"/>
      <family val="3"/>
      <charset val="134"/>
    </font>
    <font>
      <b/>
      <sz val="10.5"/>
      <name val="宋体"/>
      <family val="3"/>
      <charset val="134"/>
    </font>
    <font>
      <b/>
      <sz val="10.5"/>
      <color rgb="FF000000"/>
      <name val="宋体"/>
      <family val="3"/>
      <charset val="134"/>
    </font>
    <font>
      <b/>
      <sz val="12"/>
      <color rgb="FF0000FF"/>
      <name val="Times New Roman"/>
      <family val="1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rgb="FF0000FF"/>
      <name val="宋体"/>
      <family val="3"/>
      <charset val="134"/>
    </font>
    <font>
      <b/>
      <sz val="14"/>
      <color theme="1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theme="1"/>
      <name val="Times New Roman"/>
      <family val="3"/>
      <charset val="134"/>
    </font>
    <font>
      <sz val="12"/>
      <name val="Times New Roman"/>
      <family val="3"/>
      <charset val="134"/>
    </font>
    <font>
      <sz val="12"/>
      <color theme="1"/>
      <name val="Times New Roman"/>
      <family val="3"/>
    </font>
    <font>
      <sz val="12"/>
      <color rgb="FF000000"/>
      <name val="Times New Roman"/>
      <family val="3"/>
      <charset val="134"/>
    </font>
    <font>
      <sz val="10.5"/>
      <color rgb="FFFF0000"/>
      <name val="微软雅黑"/>
      <family val="2"/>
      <charset val="134"/>
    </font>
    <font>
      <sz val="10.5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color theme="1"/>
      <name val="宋体"/>
      <family val="1"/>
      <charset val="134"/>
    </font>
    <font>
      <b/>
      <sz val="12"/>
      <color rgb="FF000000"/>
      <name val="宋体"/>
      <family val="1"/>
      <charset val="134"/>
    </font>
    <font>
      <b/>
      <sz val="12"/>
      <color rgb="FF000000"/>
      <name val="Times New Roman"/>
      <family val="3"/>
      <charset val="134"/>
    </font>
    <font>
      <sz val="12"/>
      <color rgb="FFFF0000"/>
      <name val="宋体"/>
      <family val="1"/>
      <charset val="134"/>
    </font>
    <font>
      <sz val="12"/>
      <name val="宋体"/>
      <family val="1"/>
      <charset val="134"/>
    </font>
    <font>
      <sz val="12"/>
      <color rgb="FFFF0000"/>
      <name val="Times New Roman"/>
      <family val="1"/>
      <charset val="134"/>
    </font>
    <font>
      <sz val="10"/>
      <color rgb="FF000000"/>
      <name val="宋体"/>
      <family val="1"/>
      <charset val="134"/>
    </font>
    <font>
      <sz val="10"/>
      <color rgb="FF000000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9" fillId="0" borderId="0">
      <alignment vertical="center"/>
    </xf>
  </cellStyleXfs>
  <cellXfs count="303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0" fontId="12" fillId="0" borderId="1" xfId="0" applyNumberFormat="1" applyFont="1" applyBorder="1" applyAlignment="1">
      <alignment horizontal="center" vertical="center"/>
    </xf>
    <xf numFmtId="40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4" fillId="0" borderId="0" xfId="0" applyFont="1" applyAlignment="1">
      <alignment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1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0" borderId="1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0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4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justify" vertical="center" wrapText="1"/>
    </xf>
    <xf numFmtId="0" fontId="19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2" borderId="27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 wrapText="1"/>
    </xf>
    <xf numFmtId="0" fontId="18" fillId="2" borderId="1" xfId="0" applyFont="1" applyFill="1" applyBorder="1" applyAlignment="1">
      <alignment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40" fontId="18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40" fontId="17" fillId="0" borderId="1" xfId="0" applyNumberFormat="1" applyFont="1" applyBorder="1" applyAlignment="1">
      <alignment horizontal="left" vertical="top" wrapText="1"/>
    </xf>
    <xf numFmtId="0" fontId="23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17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 wrapText="1"/>
    </xf>
    <xf numFmtId="40" fontId="10" fillId="0" borderId="2" xfId="0" applyNumberFormat="1" applyFont="1" applyBorder="1" applyAlignment="1">
      <alignment vertical="center" wrapText="1"/>
    </xf>
    <xf numFmtId="40" fontId="10" fillId="0" borderId="1" xfId="0" applyNumberFormat="1" applyFont="1" applyBorder="1" applyAlignment="1">
      <alignment horizontal="justify" vertical="center" wrapText="1"/>
    </xf>
    <xf numFmtId="0" fontId="36" fillId="0" borderId="1" xfId="0" applyFont="1" applyBorder="1" applyAlignment="1">
      <alignment horizontal="justify" vertical="center" wrapText="1"/>
    </xf>
    <xf numFmtId="40" fontId="37" fillId="0" borderId="1" xfId="0" applyNumberFormat="1" applyFont="1" applyBorder="1" applyAlignment="1">
      <alignment horizontal="justify" vertical="center" wrapText="1"/>
    </xf>
    <xf numFmtId="0" fontId="36" fillId="0" borderId="8" xfId="0" applyFont="1" applyBorder="1" applyAlignment="1">
      <alignment horizontal="justify" vertical="center" wrapText="1"/>
    </xf>
    <xf numFmtId="40" fontId="38" fillId="0" borderId="1" xfId="0" applyNumberFormat="1" applyFont="1" applyBorder="1" applyAlignment="1">
      <alignment horizontal="justify" vertical="center" wrapText="1"/>
    </xf>
    <xf numFmtId="0" fontId="21" fillId="2" borderId="27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justify" vertical="center" wrapText="1"/>
    </xf>
    <xf numFmtId="0" fontId="21" fillId="0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justify" vertical="center" wrapText="1"/>
    </xf>
    <xf numFmtId="0" fontId="18" fillId="2" borderId="27" xfId="0" applyFont="1" applyFill="1" applyBorder="1" applyAlignment="1">
      <alignment vertical="center" wrapText="1"/>
    </xf>
    <xf numFmtId="0" fontId="63" fillId="0" borderId="1" xfId="0" applyFont="1" applyBorder="1" applyAlignment="1">
      <alignment horizontal="justify" vertical="center" wrapText="1"/>
    </xf>
    <xf numFmtId="0" fontId="67" fillId="0" borderId="1" xfId="0" applyFont="1" applyBorder="1">
      <alignment vertical="center"/>
    </xf>
    <xf numFmtId="0" fontId="68" fillId="0" borderId="1" xfId="0" applyFont="1" applyBorder="1">
      <alignment vertical="center"/>
    </xf>
    <xf numFmtId="0" fontId="26" fillId="2" borderId="1" xfId="0" applyFont="1" applyFill="1" applyBorder="1" applyAlignment="1">
      <alignment horizontal="center" vertical="center" wrapText="1"/>
    </xf>
    <xf numFmtId="40" fontId="4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73" fillId="2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top" wrapText="1"/>
    </xf>
    <xf numFmtId="0" fontId="25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" borderId="16" xfId="0" applyFont="1" applyFill="1" applyBorder="1" applyAlignment="1">
      <alignment horizontal="justify" vertical="center" wrapText="1"/>
    </xf>
    <xf numFmtId="0" fontId="21" fillId="2" borderId="16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1" fillId="2" borderId="1" xfId="0" applyFont="1" applyFill="1" applyBorder="1" applyAlignment="1">
      <alignment horizontal="justify" vertical="center" wrapText="1"/>
    </xf>
    <xf numFmtId="0" fontId="21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6" fillId="2" borderId="26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vertical="center" wrapText="1"/>
    </xf>
    <xf numFmtId="0" fontId="21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horizontal="center" vertical="center" wrapText="1"/>
    </xf>
    <xf numFmtId="40" fontId="21" fillId="2" borderId="1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left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 wrapText="1"/>
    </xf>
    <xf numFmtId="0" fontId="31" fillId="2" borderId="0" xfId="0" applyFont="1" applyFill="1" applyAlignment="1">
      <alignment horizontal="center" vertical="center" wrapText="1"/>
    </xf>
    <xf numFmtId="40" fontId="18" fillId="2" borderId="4" xfId="0" applyNumberFormat="1" applyFont="1" applyFill="1" applyBorder="1" applyAlignment="1">
      <alignment horizontal="center" vertical="center" wrapText="1"/>
    </xf>
    <xf numFmtId="176" fontId="27" fillId="2" borderId="1" xfId="0" applyNumberFormat="1" applyFont="1" applyFill="1" applyBorder="1" applyAlignment="1">
      <alignment horizontal="center" vertical="center" wrapText="1"/>
    </xf>
    <xf numFmtId="0" fontId="31" fillId="2" borderId="27" xfId="0" applyFont="1" applyFill="1" applyBorder="1" applyAlignment="1">
      <alignment horizontal="left" vertical="center" wrapText="1"/>
    </xf>
    <xf numFmtId="40" fontId="21" fillId="2" borderId="4" xfId="0" applyNumberFormat="1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top" wrapText="1"/>
    </xf>
    <xf numFmtId="0" fontId="21" fillId="2" borderId="0" xfId="0" applyFont="1" applyFill="1" applyAlignment="1">
      <alignment horizontal="center" vertical="center" wrapText="1"/>
    </xf>
    <xf numFmtId="0" fontId="21" fillId="2" borderId="28" xfId="0" applyFont="1" applyFill="1" applyBorder="1" applyAlignment="1">
      <alignment vertical="center" wrapText="1"/>
    </xf>
    <xf numFmtId="0" fontId="31" fillId="2" borderId="28" xfId="0" applyFont="1" applyFill="1" applyBorder="1" applyAlignment="1">
      <alignment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left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31" fillId="2" borderId="31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vertical="center" wrapText="1"/>
    </xf>
    <xf numFmtId="40" fontId="31" fillId="2" borderId="1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vertical="center" wrapText="1"/>
    </xf>
    <xf numFmtId="0" fontId="75" fillId="2" borderId="0" xfId="0" applyFont="1" applyFill="1" applyAlignment="1">
      <alignment horizontal="left" vertical="center" wrapText="1"/>
    </xf>
    <xf numFmtId="0" fontId="56" fillId="2" borderId="27" xfId="0" applyFont="1" applyFill="1" applyBorder="1" applyAlignment="1">
      <alignment horizontal="left" vertical="center" wrapText="1"/>
    </xf>
    <xf numFmtId="0" fontId="56" fillId="2" borderId="28" xfId="0" applyFont="1" applyFill="1" applyBorder="1" applyAlignment="1">
      <alignment horizontal="left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justify" vertical="center" wrapText="1"/>
    </xf>
    <xf numFmtId="0" fontId="18" fillId="2" borderId="16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justify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left" vertical="center" wrapText="1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8" fillId="2" borderId="4" xfId="0" applyFont="1" applyFill="1" applyBorder="1" applyAlignment="1">
      <alignment horizontal="left" vertical="center" wrapText="1"/>
    </xf>
    <xf numFmtId="176" fontId="18" fillId="2" borderId="4" xfId="0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vertical="center" wrapText="1"/>
    </xf>
    <xf numFmtId="176" fontId="18" fillId="2" borderId="22" xfId="0" applyNumberFormat="1" applyFont="1" applyFill="1" applyBorder="1" applyAlignment="1">
      <alignment horizontal="center" vertical="center" wrapText="1"/>
    </xf>
    <xf numFmtId="40" fontId="18" fillId="2" borderId="22" xfId="0" applyNumberFormat="1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40" fontId="18" fillId="2" borderId="8" xfId="0" applyNumberFormat="1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18" fillId="2" borderId="22" xfId="0" applyFont="1" applyFill="1" applyBorder="1" applyAlignment="1">
      <alignment horizontal="left" vertical="center" wrapText="1"/>
    </xf>
    <xf numFmtId="40" fontId="20" fillId="2" borderId="4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30" fillId="2" borderId="0" xfId="0" applyFont="1" applyFill="1" applyAlignment="1">
      <alignment horizontal="left" vertical="center" wrapText="1"/>
    </xf>
    <xf numFmtId="40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63" fillId="2" borderId="1" xfId="0" applyFont="1" applyFill="1" applyBorder="1" applyAlignment="1">
      <alignment horizontal="justify" vertical="center" wrapText="1"/>
    </xf>
    <xf numFmtId="0" fontId="64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justify" vertical="center" wrapText="1"/>
    </xf>
    <xf numFmtId="0" fontId="27" fillId="0" borderId="1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justify" vertical="center" wrapText="1"/>
    </xf>
    <xf numFmtId="0" fontId="63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18" fillId="2" borderId="28" xfId="0" applyFont="1" applyFill="1" applyBorder="1" applyAlignment="1">
      <alignment horizontal="left" vertical="center" wrapText="1"/>
    </xf>
    <xf numFmtId="0" fontId="18" fillId="2" borderId="24" xfId="0" applyFont="1" applyFill="1" applyBorder="1" applyAlignment="1">
      <alignment horizontal="left" vertical="center" wrapText="1"/>
    </xf>
    <xf numFmtId="0" fontId="18" fillId="2" borderId="25" xfId="0" applyFont="1" applyFill="1" applyBorder="1" applyAlignment="1">
      <alignment horizontal="left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29" fillId="2" borderId="30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1" fillId="2" borderId="23" xfId="0" applyFont="1" applyFill="1" applyBorder="1" applyAlignment="1">
      <alignment horizontal="left" vertical="center" wrapText="1"/>
    </xf>
    <xf numFmtId="0" fontId="21" fillId="2" borderId="24" xfId="0" applyFont="1" applyFill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center" wrapText="1"/>
    </xf>
    <xf numFmtId="0" fontId="21" fillId="2" borderId="28" xfId="0" applyFont="1" applyFill="1" applyBorder="1" applyAlignment="1">
      <alignment horizontal="left" vertical="center" wrapText="1"/>
    </xf>
    <xf numFmtId="0" fontId="18" fillId="2" borderId="23" xfId="0" applyFont="1" applyFill="1" applyBorder="1" applyAlignment="1">
      <alignment horizontal="left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176" fontId="18" fillId="2" borderId="15" xfId="0" applyNumberFormat="1" applyFont="1" applyFill="1" applyBorder="1" applyAlignment="1">
      <alignment horizontal="center" vertical="center" wrapText="1"/>
    </xf>
    <xf numFmtId="176" fontId="18" fillId="2" borderId="3" xfId="0" applyNumberFormat="1" applyFont="1" applyFill="1" applyBorder="1" applyAlignment="1">
      <alignment horizontal="center" vertical="center" wrapText="1"/>
    </xf>
    <xf numFmtId="176" fontId="18" fillId="2" borderId="4" xfId="0" applyNumberFormat="1" applyFont="1" applyFill="1" applyBorder="1" applyAlignment="1">
      <alignment horizontal="center" vertical="center" wrapText="1"/>
    </xf>
    <xf numFmtId="176" fontId="18" fillId="2" borderId="2" xfId="0" applyNumberFormat="1" applyFont="1" applyFill="1" applyBorder="1" applyAlignment="1">
      <alignment horizontal="center" vertical="center" wrapText="1"/>
    </xf>
    <xf numFmtId="40" fontId="21" fillId="2" borderId="15" xfId="0" applyNumberFormat="1" applyFont="1" applyFill="1" applyBorder="1" applyAlignment="1">
      <alignment horizontal="center" vertical="center" wrapText="1"/>
    </xf>
    <xf numFmtId="40" fontId="21" fillId="2" borderId="3" xfId="0" applyNumberFormat="1" applyFont="1" applyFill="1" applyBorder="1" applyAlignment="1">
      <alignment horizontal="center" vertical="center" wrapText="1"/>
    </xf>
    <xf numFmtId="40" fontId="21" fillId="2" borderId="4" xfId="0" applyNumberFormat="1" applyFont="1" applyFill="1" applyBorder="1" applyAlignment="1">
      <alignment horizontal="center" vertical="center" wrapText="1"/>
    </xf>
    <xf numFmtId="40" fontId="21" fillId="2" borderId="2" xfId="0" applyNumberFormat="1" applyFont="1" applyFill="1" applyBorder="1" applyAlignment="1">
      <alignment horizontal="center" vertical="center" wrapText="1"/>
    </xf>
    <xf numFmtId="40" fontId="18" fillId="2" borderId="16" xfId="0" applyNumberFormat="1" applyFont="1" applyFill="1" applyBorder="1" applyAlignment="1">
      <alignment horizontal="center" vertical="center" wrapText="1"/>
    </xf>
    <xf numFmtId="40" fontId="18" fillId="2" borderId="1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  <xf numFmtId="0" fontId="18" fillId="2" borderId="4" xfId="0" applyFont="1" applyFill="1" applyBorder="1" applyAlignment="1">
      <alignment horizontal="center" vertical="top" wrapText="1"/>
    </xf>
    <xf numFmtId="0" fontId="27" fillId="2" borderId="2" xfId="0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72" fillId="2" borderId="14" xfId="0" applyFont="1" applyFill="1" applyBorder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18" xfId="0" applyFont="1" applyFill="1" applyBorder="1" applyAlignment="1">
      <alignment horizontal="left" vertical="top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left" vertical="center" wrapText="1"/>
    </xf>
    <xf numFmtId="0" fontId="26" fillId="2" borderId="18" xfId="0" applyFont="1" applyFill="1" applyBorder="1" applyAlignment="1">
      <alignment horizontal="left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22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21" fillId="2" borderId="22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vertical="center" wrapText="1"/>
    </xf>
    <xf numFmtId="0" fontId="27" fillId="2" borderId="10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55" fillId="2" borderId="8" xfId="0" applyFont="1" applyFill="1" applyBorder="1" applyAlignment="1">
      <alignment horizontal="left" vertical="center" wrapText="1"/>
    </xf>
    <xf numFmtId="0" fontId="21" fillId="2" borderId="10" xfId="0" applyFont="1" applyFill="1" applyBorder="1" applyAlignment="1">
      <alignment horizontal="left" vertical="center" wrapText="1"/>
    </xf>
    <xf numFmtId="0" fontId="18" fillId="2" borderId="32" xfId="0" applyFont="1" applyFill="1" applyBorder="1" applyAlignment="1">
      <alignment horizontal="left" vertical="center" wrapText="1"/>
    </xf>
    <xf numFmtId="0" fontId="18" fillId="2" borderId="33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27" fillId="2" borderId="10" xfId="0" applyFont="1" applyFill="1" applyBorder="1" applyAlignment="1">
      <alignment horizontal="left" vertical="center" wrapText="1"/>
    </xf>
    <xf numFmtId="0" fontId="66" fillId="2" borderId="8" xfId="0" applyFont="1" applyFill="1" applyBorder="1" applyAlignment="1">
      <alignment vertical="center" wrapText="1"/>
    </xf>
    <xf numFmtId="0" fontId="27" fillId="2" borderId="20" xfId="0" applyFont="1" applyFill="1" applyBorder="1" applyAlignment="1">
      <alignment horizontal="left" vertical="center" wrapText="1"/>
    </xf>
    <xf numFmtId="0" fontId="27" fillId="2" borderId="21" xfId="0" applyFont="1" applyFill="1" applyBorder="1" applyAlignment="1">
      <alignment horizontal="left" vertical="center" wrapText="1"/>
    </xf>
    <xf numFmtId="0" fontId="66" fillId="2" borderId="8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7" fillId="0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  <color rgb="FF0000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A7" zoomScale="80" zoomScaleNormal="80" workbookViewId="0">
      <selection activeCell="B10" sqref="B10"/>
    </sheetView>
  </sheetViews>
  <sheetFormatPr defaultColWidth="8.90625" defaultRowHeight="14" x14ac:dyDescent="0.25"/>
  <cols>
    <col min="1" max="1" width="25.1796875" style="58" customWidth="1"/>
    <col min="2" max="2" width="78.90625" style="2" customWidth="1"/>
    <col min="3" max="3" width="48.81640625" style="2" customWidth="1"/>
    <col min="4" max="16384" width="8.90625" style="2"/>
  </cols>
  <sheetData>
    <row r="1" spans="1:3" ht="29.15" customHeight="1" x14ac:dyDescent="0.25">
      <c r="A1" s="184" t="s">
        <v>323</v>
      </c>
      <c r="B1" s="184"/>
      <c r="C1" s="184"/>
    </row>
    <row r="2" spans="1:3" ht="29.15" customHeight="1" x14ac:dyDescent="0.25">
      <c r="A2" s="59" t="s">
        <v>0</v>
      </c>
      <c r="B2" s="185" t="s">
        <v>324</v>
      </c>
      <c r="C2" s="185"/>
    </row>
    <row r="3" spans="1:3" ht="60" customHeight="1" x14ac:dyDescent="0.25">
      <c r="A3" s="59" t="s">
        <v>1</v>
      </c>
      <c r="B3" s="186" t="s">
        <v>374</v>
      </c>
      <c r="C3" s="186"/>
    </row>
    <row r="4" spans="1:3" ht="29.15" customHeight="1" x14ac:dyDescent="0.25">
      <c r="A4" s="59" t="s">
        <v>2</v>
      </c>
      <c r="B4" s="187" t="s">
        <v>3</v>
      </c>
      <c r="C4" s="187"/>
    </row>
    <row r="5" spans="1:3" ht="29.15" customHeight="1" x14ac:dyDescent="0.25">
      <c r="A5" s="59" t="s">
        <v>4</v>
      </c>
      <c r="B5" s="188" t="s">
        <v>375</v>
      </c>
      <c r="C5" s="185"/>
    </row>
    <row r="6" spans="1:3" ht="68.150000000000006" customHeight="1" x14ac:dyDescent="0.25">
      <c r="A6" s="59" t="s">
        <v>5</v>
      </c>
      <c r="B6" s="179" t="s">
        <v>376</v>
      </c>
      <c r="C6" s="180"/>
    </row>
    <row r="7" spans="1:3" ht="29.15" customHeight="1" x14ac:dyDescent="0.25">
      <c r="A7" s="59" t="s">
        <v>6</v>
      </c>
      <c r="B7" s="38" t="s">
        <v>7</v>
      </c>
      <c r="C7" s="38" t="s">
        <v>8</v>
      </c>
    </row>
    <row r="8" spans="1:3" ht="62.25" customHeight="1" x14ac:dyDescent="0.25">
      <c r="A8" s="60" t="s">
        <v>9</v>
      </c>
      <c r="B8" s="76" t="s">
        <v>377</v>
      </c>
      <c r="C8" s="61"/>
    </row>
    <row r="9" spans="1:3" ht="71.25" customHeight="1" x14ac:dyDescent="0.25">
      <c r="A9" s="60" t="s">
        <v>10</v>
      </c>
      <c r="B9" s="178" t="s">
        <v>388</v>
      </c>
      <c r="C9" s="62"/>
    </row>
    <row r="10" spans="1:3" s="49" customFormat="1" ht="229.5" customHeight="1" x14ac:dyDescent="0.25">
      <c r="A10" s="63" t="s">
        <v>11</v>
      </c>
      <c r="B10" s="178" t="s">
        <v>389</v>
      </c>
      <c r="C10" s="64"/>
    </row>
    <row r="11" spans="1:3" s="48" customFormat="1" ht="41.4" customHeight="1" x14ac:dyDescent="0.25">
      <c r="A11" s="65" t="s">
        <v>12</v>
      </c>
      <c r="B11" s="44" t="s">
        <v>13</v>
      </c>
      <c r="C11" s="66"/>
    </row>
    <row r="12" spans="1:3" ht="24" customHeight="1" x14ac:dyDescent="0.25">
      <c r="A12" s="181" t="s">
        <v>14</v>
      </c>
      <c r="B12" s="182"/>
      <c r="C12" s="54">
        <f>SUM(C8:C11)</f>
        <v>0</v>
      </c>
    </row>
    <row r="13" spans="1:3" ht="24" customHeight="1" x14ac:dyDescent="0.25">
      <c r="A13" s="181" t="s">
        <v>15</v>
      </c>
      <c r="B13" s="182"/>
      <c r="C13" s="54">
        <f>C12*1.06</f>
        <v>0</v>
      </c>
    </row>
    <row r="14" spans="1:3" ht="24" customHeight="1" x14ac:dyDescent="0.25">
      <c r="A14" s="181" t="s">
        <v>16</v>
      </c>
      <c r="B14" s="182"/>
      <c r="C14" s="54">
        <f>C13-C12</f>
        <v>0</v>
      </c>
    </row>
    <row r="15" spans="1:3" ht="116.15" customHeight="1" x14ac:dyDescent="0.25">
      <c r="A15" s="183" t="s">
        <v>17</v>
      </c>
      <c r="B15" s="183"/>
      <c r="C15" s="183"/>
    </row>
  </sheetData>
  <mergeCells count="10">
    <mergeCell ref="A1:C1"/>
    <mergeCell ref="B2:C2"/>
    <mergeCell ref="B3:C3"/>
    <mergeCell ref="B4:C4"/>
    <mergeCell ref="B5:C5"/>
    <mergeCell ref="B6:C6"/>
    <mergeCell ref="A12:B12"/>
    <mergeCell ref="A13:B13"/>
    <mergeCell ref="A14:B14"/>
    <mergeCell ref="A15:C15"/>
  </mergeCells>
  <phoneticPr fontId="5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0" sqref="F10"/>
    </sheetView>
  </sheetViews>
  <sheetFormatPr defaultColWidth="8.90625" defaultRowHeight="15" customHeight="1" x14ac:dyDescent="0.25"/>
  <cols>
    <col min="1" max="1" width="24.90625" style="2" customWidth="1"/>
    <col min="2" max="2" width="75" style="2" customWidth="1"/>
    <col min="3" max="3" width="12.08984375" style="49" customWidth="1"/>
    <col min="4" max="4" width="15.453125" style="2" customWidth="1"/>
    <col min="5" max="6" width="16.90625" style="2" customWidth="1"/>
    <col min="7" max="7" width="56.90625" style="2" customWidth="1"/>
    <col min="8" max="8" width="19.453125" style="50" customWidth="1"/>
    <col min="9" max="9" width="8.90625" style="2"/>
    <col min="10" max="10" width="15.453125" style="2" customWidth="1"/>
    <col min="11" max="16384" width="8.90625" style="2"/>
  </cols>
  <sheetData>
    <row r="1" spans="1:10" ht="29.15" customHeight="1" x14ac:dyDescent="0.25">
      <c r="A1" s="189" t="s">
        <v>331</v>
      </c>
      <c r="B1" s="189"/>
      <c r="C1" s="189"/>
      <c r="D1" s="189"/>
      <c r="E1" s="189"/>
      <c r="F1" s="189"/>
      <c r="G1" s="189"/>
    </row>
    <row r="2" spans="1:10" ht="41.15" customHeight="1" x14ac:dyDescent="0.25">
      <c r="A2" s="70" t="s">
        <v>332</v>
      </c>
      <c r="B2" s="70" t="s">
        <v>333</v>
      </c>
      <c r="C2" s="51" t="s">
        <v>334</v>
      </c>
      <c r="D2" s="70" t="s">
        <v>335</v>
      </c>
      <c r="E2" s="70" t="s">
        <v>341</v>
      </c>
      <c r="F2" s="70" t="s">
        <v>342</v>
      </c>
      <c r="G2" s="70" t="s">
        <v>72</v>
      </c>
      <c r="I2" s="56"/>
      <c r="J2" s="57"/>
    </row>
    <row r="3" spans="1:10" ht="78" customHeight="1" x14ac:dyDescent="0.25">
      <c r="A3" s="41" t="s">
        <v>336</v>
      </c>
      <c r="B3" s="74" t="s">
        <v>343</v>
      </c>
      <c r="C3" s="71" t="s">
        <v>337</v>
      </c>
      <c r="D3" s="39">
        <v>2</v>
      </c>
      <c r="E3" s="70"/>
      <c r="F3" s="13">
        <f>D3*E3</f>
        <v>0</v>
      </c>
      <c r="G3" s="52"/>
    </row>
    <row r="4" spans="1:10" ht="178.5" customHeight="1" x14ac:dyDescent="0.25">
      <c r="A4" s="41" t="s">
        <v>344</v>
      </c>
      <c r="B4" s="72" t="s">
        <v>345</v>
      </c>
      <c r="C4" s="71" t="s">
        <v>337</v>
      </c>
      <c r="D4" s="53">
        <v>8</v>
      </c>
      <c r="E4" s="70"/>
      <c r="F4" s="13">
        <f t="shared" ref="F4:F7" si="0">D4*E4</f>
        <v>0</v>
      </c>
      <c r="G4" s="68" t="s">
        <v>346</v>
      </c>
    </row>
    <row r="5" spans="1:10" ht="132.9" customHeight="1" x14ac:dyDescent="0.25">
      <c r="A5" s="192" t="s">
        <v>347</v>
      </c>
      <c r="B5" s="74" t="s">
        <v>348</v>
      </c>
      <c r="C5" s="71" t="s">
        <v>337</v>
      </c>
      <c r="D5" s="38">
        <v>2</v>
      </c>
      <c r="E5" s="70"/>
      <c r="F5" s="13">
        <f t="shared" si="0"/>
        <v>0</v>
      </c>
      <c r="G5" s="68" t="s">
        <v>349</v>
      </c>
    </row>
    <row r="6" spans="1:10" ht="123.9" customHeight="1" x14ac:dyDescent="0.25">
      <c r="A6" s="193"/>
      <c r="B6" s="74" t="s">
        <v>350</v>
      </c>
      <c r="C6" s="71" t="s">
        <v>337</v>
      </c>
      <c r="D6" s="38">
        <v>2</v>
      </c>
      <c r="E6" s="70"/>
      <c r="F6" s="13">
        <f t="shared" si="0"/>
        <v>0</v>
      </c>
      <c r="G6" s="68" t="s">
        <v>351</v>
      </c>
    </row>
    <row r="7" spans="1:10" ht="76.5" customHeight="1" x14ac:dyDescent="0.25">
      <c r="A7" s="192" t="s">
        <v>338</v>
      </c>
      <c r="B7" s="74" t="s">
        <v>352</v>
      </c>
      <c r="C7" s="71" t="s">
        <v>339</v>
      </c>
      <c r="D7" s="38"/>
      <c r="E7" s="70"/>
      <c r="F7" s="13">
        <f t="shared" si="0"/>
        <v>0</v>
      </c>
      <c r="G7" s="73" t="s">
        <v>353</v>
      </c>
    </row>
    <row r="8" spans="1:10" ht="51.75" customHeight="1" x14ac:dyDescent="0.25">
      <c r="A8" s="194"/>
      <c r="B8" s="69" t="s">
        <v>354</v>
      </c>
      <c r="C8" s="71" t="s">
        <v>339</v>
      </c>
      <c r="D8" s="70"/>
      <c r="E8" s="70"/>
      <c r="F8" s="70" t="s">
        <v>18</v>
      </c>
      <c r="G8" s="195" t="s">
        <v>355</v>
      </c>
    </row>
    <row r="9" spans="1:10" ht="51" customHeight="1" x14ac:dyDescent="0.25">
      <c r="A9" s="193"/>
      <c r="B9" s="69" t="s">
        <v>340</v>
      </c>
      <c r="C9" s="71" t="s">
        <v>339</v>
      </c>
      <c r="D9" s="70"/>
      <c r="E9" s="70"/>
      <c r="F9" s="70" t="s">
        <v>18</v>
      </c>
      <c r="G9" s="196"/>
    </row>
    <row r="10" spans="1:10" s="1" customFormat="1" ht="24.9" customHeight="1" x14ac:dyDescent="0.25">
      <c r="A10" s="181" t="s">
        <v>356</v>
      </c>
      <c r="B10" s="190"/>
      <c r="C10" s="190"/>
      <c r="D10" s="190"/>
      <c r="E10" s="190"/>
      <c r="F10" s="54">
        <f>SUM(F3:F9)</f>
        <v>0</v>
      </c>
      <c r="G10" s="54"/>
      <c r="H10" s="55"/>
    </row>
    <row r="11" spans="1:10" s="1" customFormat="1" ht="24.9" customHeight="1" x14ac:dyDescent="0.25">
      <c r="A11" s="181" t="s">
        <v>357</v>
      </c>
      <c r="B11" s="190"/>
      <c r="C11" s="190"/>
      <c r="D11" s="190"/>
      <c r="E11" s="190"/>
      <c r="F11" s="54">
        <f>F10*1.06</f>
        <v>0</v>
      </c>
      <c r="G11" s="54"/>
      <c r="H11" s="55"/>
    </row>
    <row r="12" spans="1:10" s="1" customFormat="1" ht="24.9" customHeight="1" x14ac:dyDescent="0.25">
      <c r="A12" s="181" t="s">
        <v>358</v>
      </c>
      <c r="B12" s="190"/>
      <c r="C12" s="190"/>
      <c r="D12" s="190"/>
      <c r="E12" s="190"/>
      <c r="F12" s="54">
        <f>F11-F10</f>
        <v>0</v>
      </c>
      <c r="G12" s="54"/>
      <c r="H12" s="55"/>
    </row>
    <row r="13" spans="1:10" s="1" customFormat="1" ht="96" customHeight="1" x14ac:dyDescent="0.25">
      <c r="A13" s="191" t="s">
        <v>359</v>
      </c>
      <c r="B13" s="191"/>
      <c r="C13" s="191"/>
      <c r="D13" s="191"/>
      <c r="E13" s="191"/>
      <c r="F13" s="191"/>
      <c r="G13" s="191"/>
      <c r="H13" s="55"/>
    </row>
  </sheetData>
  <mergeCells count="8">
    <mergeCell ref="A1:G1"/>
    <mergeCell ref="A10:E10"/>
    <mergeCell ref="A11:E11"/>
    <mergeCell ref="A12:E12"/>
    <mergeCell ref="A13:G13"/>
    <mergeCell ref="A5:A6"/>
    <mergeCell ref="A7:A9"/>
    <mergeCell ref="G8:G9"/>
  </mergeCells>
  <phoneticPr fontId="5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zoomScale="55" zoomScaleNormal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161" sqref="H161"/>
    </sheetView>
  </sheetViews>
  <sheetFormatPr defaultColWidth="8.90625" defaultRowHeight="14" x14ac:dyDescent="0.25"/>
  <cols>
    <col min="1" max="1" width="16.453125" style="174" customWidth="1"/>
    <col min="2" max="2" width="14.90625" style="175" customWidth="1"/>
    <col min="3" max="3" width="26.90625" style="176" customWidth="1"/>
    <col min="4" max="4" width="73.90625" style="176" customWidth="1"/>
    <col min="5" max="5" width="18.36328125" style="175" customWidth="1"/>
    <col min="6" max="6" width="12.90625" style="167" customWidth="1"/>
    <col min="7" max="7" width="14.90625" style="176" customWidth="1"/>
    <col min="8" max="8" width="14.08984375" style="175" customWidth="1"/>
    <col min="9" max="9" width="54.6328125" style="176" customWidth="1"/>
    <col min="10" max="10" width="19.08984375" style="177" customWidth="1"/>
    <col min="11" max="11" width="21.90625" style="100" customWidth="1"/>
    <col min="12" max="12" width="8.90625" style="100"/>
    <col min="13" max="13" width="14.90625" style="92" customWidth="1"/>
    <col min="14" max="16384" width="8.90625" style="101"/>
  </cols>
  <sheetData>
    <row r="1" spans="1:13" s="93" customFormat="1" ht="24.9" customHeight="1" x14ac:dyDescent="0.25">
      <c r="A1" s="282" t="s">
        <v>65</v>
      </c>
      <c r="B1" s="282"/>
      <c r="C1" s="282"/>
      <c r="D1" s="283"/>
      <c r="E1" s="282"/>
      <c r="F1" s="283"/>
      <c r="G1" s="283"/>
      <c r="H1" s="283"/>
      <c r="I1" s="283"/>
      <c r="J1" s="90"/>
      <c r="K1" s="91"/>
      <c r="L1" s="91"/>
      <c r="M1" s="92"/>
    </row>
    <row r="2" spans="1:13" s="97" customFormat="1" ht="33.9" customHeight="1" x14ac:dyDescent="0.25">
      <c r="A2" s="94" t="s">
        <v>66</v>
      </c>
      <c r="B2" s="284" t="s">
        <v>67</v>
      </c>
      <c r="C2" s="285"/>
      <c r="D2" s="286"/>
      <c r="E2" s="94" t="s">
        <v>68</v>
      </c>
      <c r="F2" s="95" t="s">
        <v>69</v>
      </c>
      <c r="G2" s="94" t="s">
        <v>70</v>
      </c>
      <c r="H2" s="94" t="s">
        <v>71</v>
      </c>
      <c r="I2" s="96" t="s">
        <v>72</v>
      </c>
      <c r="J2" s="90"/>
      <c r="K2" s="91"/>
      <c r="L2" s="91"/>
      <c r="M2" s="92"/>
    </row>
    <row r="3" spans="1:13" ht="27" customHeight="1" x14ac:dyDescent="0.25">
      <c r="A3" s="248" t="s">
        <v>390</v>
      </c>
      <c r="B3" s="256" t="s">
        <v>73</v>
      </c>
      <c r="C3" s="98" t="s">
        <v>74</v>
      </c>
      <c r="D3" s="99" t="s">
        <v>75</v>
      </c>
      <c r="E3" s="208" t="s">
        <v>76</v>
      </c>
      <c r="F3" s="230">
        <v>152</v>
      </c>
      <c r="G3" s="208"/>
      <c r="H3" s="216">
        <f>G3*F3</f>
        <v>0</v>
      </c>
      <c r="I3" s="203" t="s">
        <v>77</v>
      </c>
      <c r="J3" s="88"/>
    </row>
    <row r="4" spans="1:13" ht="27" customHeight="1" x14ac:dyDescent="0.25">
      <c r="A4" s="249"/>
      <c r="B4" s="223"/>
      <c r="C4" s="102" t="s">
        <v>78</v>
      </c>
      <c r="D4" s="103" t="s">
        <v>79</v>
      </c>
      <c r="E4" s="209"/>
      <c r="F4" s="228"/>
      <c r="G4" s="209"/>
      <c r="H4" s="217"/>
      <c r="I4" s="204"/>
      <c r="J4" s="88"/>
    </row>
    <row r="5" spans="1:13" ht="133.5" customHeight="1" x14ac:dyDescent="0.25">
      <c r="A5" s="249"/>
      <c r="B5" s="224"/>
      <c r="C5" s="104" t="s">
        <v>80</v>
      </c>
      <c r="D5" s="103" t="s">
        <v>60</v>
      </c>
      <c r="E5" s="210"/>
      <c r="F5" s="229"/>
      <c r="G5" s="210"/>
      <c r="H5" s="218"/>
      <c r="I5" s="205"/>
      <c r="J5" s="105"/>
      <c r="K5" s="106"/>
    </row>
    <row r="6" spans="1:13" ht="95.25" customHeight="1" x14ac:dyDescent="0.25">
      <c r="A6" s="249"/>
      <c r="B6" s="107" t="s">
        <v>81</v>
      </c>
      <c r="C6" s="280" t="s">
        <v>378</v>
      </c>
      <c r="D6" s="276"/>
      <c r="E6" s="108" t="s">
        <v>82</v>
      </c>
      <c r="F6" s="39">
        <f>152*197+72*56</f>
        <v>33976</v>
      </c>
      <c r="G6" s="109"/>
      <c r="H6" s="47">
        <v>0</v>
      </c>
      <c r="I6" s="42" t="s">
        <v>83</v>
      </c>
      <c r="J6" s="110"/>
    </row>
    <row r="7" spans="1:13" ht="24.9" customHeight="1" x14ac:dyDescent="0.25">
      <c r="A7" s="249"/>
      <c r="B7" s="222" t="s">
        <v>84</v>
      </c>
      <c r="C7" s="104" t="s">
        <v>85</v>
      </c>
      <c r="D7" s="40" t="s">
        <v>19</v>
      </c>
      <c r="E7" s="227" t="s">
        <v>86</v>
      </c>
      <c r="F7" s="211">
        <f>152*8</f>
        <v>1216</v>
      </c>
      <c r="G7" s="211"/>
      <c r="H7" s="219">
        <f>G7*F7</f>
        <v>0</v>
      </c>
      <c r="I7" s="206" t="s">
        <v>87</v>
      </c>
      <c r="J7" s="88"/>
    </row>
    <row r="8" spans="1:13" ht="24.9" customHeight="1" x14ac:dyDescent="0.25">
      <c r="A8" s="249"/>
      <c r="B8" s="223"/>
      <c r="C8" s="111" t="s">
        <v>88</v>
      </c>
      <c r="D8" s="112" t="s">
        <v>89</v>
      </c>
      <c r="E8" s="228"/>
      <c r="F8" s="209"/>
      <c r="G8" s="209"/>
      <c r="H8" s="217"/>
      <c r="I8" s="204"/>
      <c r="J8" s="88"/>
    </row>
    <row r="9" spans="1:13" ht="24.9" customHeight="1" x14ac:dyDescent="0.25">
      <c r="A9" s="249"/>
      <c r="B9" s="224"/>
      <c r="C9" s="104" t="s">
        <v>90</v>
      </c>
      <c r="D9" s="40" t="s">
        <v>20</v>
      </c>
      <c r="E9" s="229"/>
      <c r="F9" s="210"/>
      <c r="G9" s="210"/>
      <c r="H9" s="218"/>
      <c r="I9" s="205"/>
      <c r="J9" s="88"/>
    </row>
    <row r="10" spans="1:13" ht="24.9" customHeight="1" x14ac:dyDescent="0.25">
      <c r="A10" s="249"/>
      <c r="B10" s="222" t="s">
        <v>91</v>
      </c>
      <c r="C10" s="113" t="s">
        <v>92</v>
      </c>
      <c r="D10" s="114" t="s">
        <v>93</v>
      </c>
      <c r="E10" s="115" t="s">
        <v>94</v>
      </c>
      <c r="F10" s="39">
        <v>8</v>
      </c>
      <c r="G10" s="104"/>
      <c r="H10" s="116">
        <f t="shared" ref="H10:H47" si="0">G10*F10</f>
        <v>0</v>
      </c>
      <c r="I10" s="67" t="s">
        <v>95</v>
      </c>
      <c r="J10" s="88"/>
    </row>
    <row r="11" spans="1:13" ht="24.9" customHeight="1" x14ac:dyDescent="0.25">
      <c r="A11" s="249"/>
      <c r="B11" s="224"/>
      <c r="C11" s="104" t="s">
        <v>96</v>
      </c>
      <c r="D11" s="45" t="s">
        <v>97</v>
      </c>
      <c r="E11" s="115" t="s">
        <v>94</v>
      </c>
      <c r="F11" s="39">
        <v>3</v>
      </c>
      <c r="G11" s="104"/>
      <c r="H11" s="116">
        <f t="shared" si="0"/>
        <v>0</v>
      </c>
      <c r="I11" s="67" t="s">
        <v>98</v>
      </c>
      <c r="J11" s="88"/>
    </row>
    <row r="12" spans="1:13" ht="75.650000000000006" customHeight="1" x14ac:dyDescent="0.25">
      <c r="A12" s="249"/>
      <c r="B12" s="222" t="s">
        <v>99</v>
      </c>
      <c r="C12" s="234" t="s">
        <v>100</v>
      </c>
      <c r="D12" s="40" t="s">
        <v>101</v>
      </c>
      <c r="E12" s="39" t="s">
        <v>94</v>
      </c>
      <c r="F12" s="53">
        <f>32*2*197+16*2*56</f>
        <v>14400</v>
      </c>
      <c r="G12" s="111"/>
      <c r="H12" s="116">
        <f t="shared" si="0"/>
        <v>0</v>
      </c>
      <c r="I12" s="42" t="s">
        <v>102</v>
      </c>
      <c r="J12" s="88"/>
    </row>
    <row r="13" spans="1:13" ht="84" customHeight="1" x14ac:dyDescent="0.25">
      <c r="A13" s="249"/>
      <c r="B13" s="223"/>
      <c r="C13" s="235"/>
      <c r="D13" s="111" t="s">
        <v>103</v>
      </c>
      <c r="E13" s="108" t="s">
        <v>104</v>
      </c>
      <c r="F13" s="39">
        <f>152*1*28+72*8</f>
        <v>4832</v>
      </c>
      <c r="G13" s="111"/>
      <c r="H13" s="116">
        <f t="shared" si="0"/>
        <v>0</v>
      </c>
      <c r="I13" s="42" t="s">
        <v>105</v>
      </c>
      <c r="J13" s="88"/>
    </row>
    <row r="14" spans="1:13" ht="47.15" customHeight="1" x14ac:dyDescent="0.25">
      <c r="A14" s="249"/>
      <c r="B14" s="223"/>
      <c r="C14" s="111" t="s">
        <v>106</v>
      </c>
      <c r="D14" s="111" t="s">
        <v>107</v>
      </c>
      <c r="E14" s="108" t="s">
        <v>104</v>
      </c>
      <c r="F14" s="53">
        <f>24*1*28+8*1*8</f>
        <v>736</v>
      </c>
      <c r="G14" s="40"/>
      <c r="H14" s="47">
        <f t="shared" si="0"/>
        <v>0</v>
      </c>
      <c r="I14" s="85" t="s">
        <v>108</v>
      </c>
      <c r="J14" s="200" t="s">
        <v>109</v>
      </c>
      <c r="M14" s="202"/>
    </row>
    <row r="15" spans="1:13" ht="52.5" customHeight="1" x14ac:dyDescent="0.25">
      <c r="A15" s="249"/>
      <c r="B15" s="223"/>
      <c r="C15" s="111" t="s">
        <v>110</v>
      </c>
      <c r="D15" s="111" t="s">
        <v>111</v>
      </c>
      <c r="E15" s="108" t="s">
        <v>104</v>
      </c>
      <c r="F15" s="39">
        <f>120*2+120*1*28+40*1*8</f>
        <v>3920</v>
      </c>
      <c r="G15" s="111"/>
      <c r="H15" s="116">
        <f t="shared" si="0"/>
        <v>0</v>
      </c>
      <c r="I15" s="85" t="s">
        <v>112</v>
      </c>
      <c r="J15" s="201"/>
      <c r="M15" s="202"/>
    </row>
    <row r="16" spans="1:13" ht="52.5" customHeight="1" x14ac:dyDescent="0.25">
      <c r="A16" s="249"/>
      <c r="B16" s="223"/>
      <c r="C16" s="117" t="s">
        <v>113</v>
      </c>
      <c r="D16" s="111" t="s">
        <v>114</v>
      </c>
      <c r="E16" s="108" t="s">
        <v>104</v>
      </c>
      <c r="F16" s="39">
        <f>120*5+40</f>
        <v>640</v>
      </c>
      <c r="G16" s="111"/>
      <c r="H16" s="116">
        <f t="shared" si="0"/>
        <v>0</v>
      </c>
      <c r="I16" s="87" t="s">
        <v>115</v>
      </c>
      <c r="J16" s="201"/>
      <c r="M16" s="202"/>
    </row>
    <row r="17" spans="1:13" ht="52.5" customHeight="1" x14ac:dyDescent="0.25">
      <c r="A17" s="249"/>
      <c r="B17" s="224"/>
      <c r="C17" s="117" t="s">
        <v>116</v>
      </c>
      <c r="D17" s="111" t="s">
        <v>117</v>
      </c>
      <c r="E17" s="108" t="s">
        <v>104</v>
      </c>
      <c r="F17" s="39">
        <v>280</v>
      </c>
      <c r="G17" s="111"/>
      <c r="H17" s="116">
        <f t="shared" si="0"/>
        <v>0</v>
      </c>
      <c r="I17" s="87" t="s">
        <v>118</v>
      </c>
      <c r="J17" s="201"/>
      <c r="M17" s="202"/>
    </row>
    <row r="18" spans="1:13" ht="36.65" customHeight="1" x14ac:dyDescent="0.25">
      <c r="A18" s="249"/>
      <c r="B18" s="222" t="s">
        <v>119</v>
      </c>
      <c r="C18" s="117" t="s">
        <v>120</v>
      </c>
      <c r="D18" s="111" t="s">
        <v>121</v>
      </c>
      <c r="E18" s="108" t="s">
        <v>104</v>
      </c>
      <c r="F18" s="39">
        <f>80+40</f>
        <v>120</v>
      </c>
      <c r="G18" s="104"/>
      <c r="H18" s="116">
        <f t="shared" si="0"/>
        <v>0</v>
      </c>
      <c r="I18" s="87" t="s">
        <v>122</v>
      </c>
      <c r="J18" s="201"/>
      <c r="M18" s="202"/>
    </row>
    <row r="19" spans="1:13" ht="36.65" customHeight="1" x14ac:dyDescent="0.25">
      <c r="A19" s="249"/>
      <c r="B19" s="223"/>
      <c r="C19" s="117" t="s">
        <v>123</v>
      </c>
      <c r="D19" s="111" t="s">
        <v>121</v>
      </c>
      <c r="E19" s="108" t="s">
        <v>104</v>
      </c>
      <c r="F19" s="39">
        <f t="shared" ref="F19:F22" si="1">80+40</f>
        <v>120</v>
      </c>
      <c r="G19" s="104"/>
      <c r="H19" s="116">
        <f t="shared" si="0"/>
        <v>0</v>
      </c>
      <c r="I19" s="87" t="s">
        <v>122</v>
      </c>
      <c r="J19" s="201"/>
      <c r="M19" s="202"/>
    </row>
    <row r="20" spans="1:13" ht="36.65" customHeight="1" x14ac:dyDescent="0.25">
      <c r="A20" s="249"/>
      <c r="B20" s="223"/>
      <c r="C20" s="117" t="s">
        <v>124</v>
      </c>
      <c r="D20" s="111" t="s">
        <v>121</v>
      </c>
      <c r="E20" s="108" t="s">
        <v>104</v>
      </c>
      <c r="F20" s="39">
        <f t="shared" si="1"/>
        <v>120</v>
      </c>
      <c r="G20" s="104"/>
      <c r="H20" s="116">
        <f t="shared" si="0"/>
        <v>0</v>
      </c>
      <c r="I20" s="87" t="s">
        <v>122</v>
      </c>
      <c r="J20" s="201"/>
      <c r="M20" s="202"/>
    </row>
    <row r="21" spans="1:13" ht="36.65" customHeight="1" x14ac:dyDescent="0.25">
      <c r="A21" s="249"/>
      <c r="B21" s="223"/>
      <c r="C21" s="117" t="s">
        <v>125</v>
      </c>
      <c r="D21" s="111" t="s">
        <v>121</v>
      </c>
      <c r="E21" s="108" t="s">
        <v>104</v>
      </c>
      <c r="F21" s="39">
        <f t="shared" si="1"/>
        <v>120</v>
      </c>
      <c r="G21" s="104"/>
      <c r="H21" s="116">
        <f t="shared" si="0"/>
        <v>0</v>
      </c>
      <c r="I21" s="87" t="s">
        <v>122</v>
      </c>
      <c r="J21" s="201"/>
      <c r="M21" s="202"/>
    </row>
    <row r="22" spans="1:13" ht="36.65" customHeight="1" x14ac:dyDescent="0.25">
      <c r="A22" s="249"/>
      <c r="B22" s="223"/>
      <c r="C22" s="117" t="s">
        <v>126</v>
      </c>
      <c r="D22" s="111" t="s">
        <v>121</v>
      </c>
      <c r="E22" s="108" t="s">
        <v>104</v>
      </c>
      <c r="F22" s="39">
        <f t="shared" si="1"/>
        <v>120</v>
      </c>
      <c r="G22" s="104"/>
      <c r="H22" s="116">
        <f t="shared" si="0"/>
        <v>0</v>
      </c>
      <c r="I22" s="87" t="s">
        <v>122</v>
      </c>
      <c r="J22" s="201"/>
      <c r="M22" s="202"/>
    </row>
    <row r="23" spans="1:13" ht="70.5" customHeight="1" x14ac:dyDescent="0.25">
      <c r="A23" s="249"/>
      <c r="B23" s="227" t="s">
        <v>127</v>
      </c>
      <c r="C23" s="45" t="s">
        <v>62</v>
      </c>
      <c r="D23" s="103" t="s">
        <v>128</v>
      </c>
      <c r="E23" s="118" t="s">
        <v>383</v>
      </c>
      <c r="F23" s="53">
        <f>32+24*8*2+48</f>
        <v>464</v>
      </c>
      <c r="G23" s="40"/>
      <c r="H23" s="47">
        <f t="shared" si="0"/>
        <v>0</v>
      </c>
      <c r="I23" s="67" t="s">
        <v>130</v>
      </c>
      <c r="J23" s="88"/>
    </row>
    <row r="24" spans="1:13" ht="54.65" customHeight="1" x14ac:dyDescent="0.25">
      <c r="A24" s="249"/>
      <c r="B24" s="228"/>
      <c r="C24" s="119" t="s">
        <v>131</v>
      </c>
      <c r="D24" s="45" t="s">
        <v>132</v>
      </c>
      <c r="E24" s="39" t="s">
        <v>86</v>
      </c>
      <c r="F24" s="53">
        <v>120</v>
      </c>
      <c r="G24" s="40"/>
      <c r="H24" s="47">
        <f t="shared" si="0"/>
        <v>0</v>
      </c>
      <c r="I24" s="42" t="s">
        <v>133</v>
      </c>
      <c r="J24" s="88"/>
    </row>
    <row r="25" spans="1:13" ht="54.65" customHeight="1" x14ac:dyDescent="0.25">
      <c r="A25" s="249"/>
      <c r="B25" s="229"/>
      <c r="C25" s="119" t="s">
        <v>134</v>
      </c>
      <c r="D25" s="45" t="s">
        <v>135</v>
      </c>
      <c r="E25" s="39" t="s">
        <v>86</v>
      </c>
      <c r="F25" s="53">
        <v>120</v>
      </c>
      <c r="G25" s="40"/>
      <c r="H25" s="47">
        <f t="shared" ref="H25" si="2">G25*F25</f>
        <v>0</v>
      </c>
      <c r="I25" s="42" t="s">
        <v>133</v>
      </c>
      <c r="J25" s="88"/>
    </row>
    <row r="26" spans="1:13" ht="82.5" customHeight="1" x14ac:dyDescent="0.25">
      <c r="A26" s="249"/>
      <c r="B26" s="227" t="s">
        <v>136</v>
      </c>
      <c r="C26" s="287" t="s">
        <v>360</v>
      </c>
      <c r="D26" s="263"/>
      <c r="E26" s="39" t="s">
        <v>86</v>
      </c>
      <c r="F26" s="53">
        <f>464+46</f>
        <v>510</v>
      </c>
      <c r="G26" s="40"/>
      <c r="H26" s="47">
        <f t="shared" si="0"/>
        <v>0</v>
      </c>
      <c r="I26" s="42" t="s">
        <v>384</v>
      </c>
      <c r="J26" s="88"/>
      <c r="K26" s="89"/>
    </row>
    <row r="27" spans="1:13" ht="64.5" customHeight="1" x14ac:dyDescent="0.25">
      <c r="A27" s="249"/>
      <c r="B27" s="229"/>
      <c r="C27" s="287" t="s">
        <v>361</v>
      </c>
      <c r="D27" s="263"/>
      <c r="E27" s="39" t="s">
        <v>86</v>
      </c>
      <c r="F27" s="53">
        <v>132</v>
      </c>
      <c r="G27" s="40"/>
      <c r="H27" s="47">
        <f t="shared" si="0"/>
        <v>0</v>
      </c>
      <c r="I27" s="42" t="s">
        <v>137</v>
      </c>
      <c r="J27" s="88"/>
      <c r="K27" s="120"/>
    </row>
    <row r="28" spans="1:13" ht="35.25" customHeight="1" x14ac:dyDescent="0.25">
      <c r="A28" s="249"/>
      <c r="B28" s="39" t="s">
        <v>138</v>
      </c>
      <c r="C28" s="274" t="s">
        <v>139</v>
      </c>
      <c r="D28" s="271"/>
      <c r="E28" s="39" t="s">
        <v>86</v>
      </c>
      <c r="F28" s="39">
        <f>32*8</f>
        <v>256</v>
      </c>
      <c r="G28" s="40"/>
      <c r="H28" s="47">
        <f t="shared" si="0"/>
        <v>0</v>
      </c>
      <c r="I28" s="42" t="s">
        <v>140</v>
      </c>
      <c r="J28" s="88"/>
    </row>
    <row r="29" spans="1:13" ht="36" customHeight="1" x14ac:dyDescent="0.25">
      <c r="A29" s="249"/>
      <c r="B29" s="227" t="s">
        <v>141</v>
      </c>
      <c r="C29" s="274" t="s">
        <v>142</v>
      </c>
      <c r="D29" s="271"/>
      <c r="E29" s="39" t="s">
        <v>86</v>
      </c>
      <c r="F29" s="84">
        <v>256</v>
      </c>
      <c r="G29" s="40"/>
      <c r="H29" s="47">
        <f t="shared" si="0"/>
        <v>0</v>
      </c>
      <c r="I29" s="42" t="s">
        <v>143</v>
      </c>
      <c r="J29" s="88"/>
    </row>
    <row r="30" spans="1:13" ht="36" customHeight="1" x14ac:dyDescent="0.25">
      <c r="A30" s="249"/>
      <c r="B30" s="228"/>
      <c r="C30" s="274" t="s">
        <v>362</v>
      </c>
      <c r="D30" s="271"/>
      <c r="E30" s="39" t="s">
        <v>86</v>
      </c>
      <c r="F30" s="84">
        <v>128</v>
      </c>
      <c r="G30" s="40"/>
      <c r="H30" s="47">
        <f t="shared" si="0"/>
        <v>0</v>
      </c>
      <c r="I30" s="42" t="s">
        <v>363</v>
      </c>
      <c r="J30" s="88"/>
    </row>
    <row r="31" spans="1:13" ht="36" customHeight="1" x14ac:dyDescent="0.25">
      <c r="A31" s="249"/>
      <c r="B31" s="229"/>
      <c r="C31" s="274" t="s">
        <v>365</v>
      </c>
      <c r="D31" s="271"/>
      <c r="E31" s="39" t="s">
        <v>86</v>
      </c>
      <c r="F31" s="84">
        <v>64</v>
      </c>
      <c r="G31" s="40"/>
      <c r="H31" s="121">
        <f t="shared" si="0"/>
        <v>0</v>
      </c>
      <c r="I31" s="42" t="s">
        <v>364</v>
      </c>
      <c r="J31" s="88"/>
    </row>
    <row r="32" spans="1:13" ht="34.5" customHeight="1" x14ac:dyDescent="0.25">
      <c r="A32" s="249"/>
      <c r="B32" s="222" t="s">
        <v>144</v>
      </c>
      <c r="C32" s="40" t="s">
        <v>145</v>
      </c>
      <c r="D32" s="40" t="s">
        <v>146</v>
      </c>
      <c r="E32" s="108" t="s">
        <v>104</v>
      </c>
      <c r="F32" s="46" t="s">
        <v>18</v>
      </c>
      <c r="G32" s="122"/>
      <c r="H32" s="121" t="s">
        <v>18</v>
      </c>
      <c r="I32" s="123" t="s">
        <v>147</v>
      </c>
      <c r="J32" s="88"/>
    </row>
    <row r="33" spans="1:13" ht="30.75" customHeight="1" x14ac:dyDescent="0.25">
      <c r="A33" s="249"/>
      <c r="B33" s="223"/>
      <c r="C33" s="40" t="s">
        <v>148</v>
      </c>
      <c r="D33" s="40" t="s">
        <v>146</v>
      </c>
      <c r="E33" s="108" t="s">
        <v>104</v>
      </c>
      <c r="F33" s="121" t="s">
        <v>18</v>
      </c>
      <c r="G33" s="40"/>
      <c r="H33" s="121" t="s">
        <v>18</v>
      </c>
      <c r="I33" s="123" t="s">
        <v>147</v>
      </c>
      <c r="J33" s="88"/>
    </row>
    <row r="34" spans="1:13" s="127" customFormat="1" ht="54.75" customHeight="1" x14ac:dyDescent="0.25">
      <c r="A34" s="249"/>
      <c r="B34" s="223"/>
      <c r="C34" s="107" t="s">
        <v>149</v>
      </c>
      <c r="D34" s="107" t="s">
        <v>150</v>
      </c>
      <c r="E34" s="108" t="s">
        <v>104</v>
      </c>
      <c r="F34" s="46">
        <v>120</v>
      </c>
      <c r="G34" s="122"/>
      <c r="H34" s="124">
        <f t="shared" ref="H34:H39" si="3">F34*G34</f>
        <v>0</v>
      </c>
      <c r="I34" s="125" t="s">
        <v>151</v>
      </c>
      <c r="J34" s="88"/>
      <c r="K34" s="88"/>
      <c r="L34" s="120"/>
      <c r="M34" s="126"/>
    </row>
    <row r="35" spans="1:13" s="127" customFormat="1" ht="37.5" customHeight="1" x14ac:dyDescent="0.25">
      <c r="A35" s="249"/>
      <c r="B35" s="224"/>
      <c r="C35" s="107" t="s">
        <v>152</v>
      </c>
      <c r="D35" s="107" t="s">
        <v>150</v>
      </c>
      <c r="E35" s="108" t="s">
        <v>104</v>
      </c>
      <c r="F35" s="46">
        <v>120</v>
      </c>
      <c r="G35" s="122"/>
      <c r="H35" s="124">
        <f t="shared" si="3"/>
        <v>0</v>
      </c>
      <c r="I35" s="125" t="s">
        <v>151</v>
      </c>
      <c r="J35" s="88"/>
      <c r="K35" s="88"/>
      <c r="L35" s="120"/>
      <c r="M35" s="126"/>
    </row>
    <row r="36" spans="1:13" s="127" customFormat="1" ht="33" customHeight="1" x14ac:dyDescent="0.25">
      <c r="A36" s="249"/>
      <c r="B36" s="222" t="s">
        <v>153</v>
      </c>
      <c r="C36" s="40" t="s">
        <v>145</v>
      </c>
      <c r="D36" s="40" t="s">
        <v>146</v>
      </c>
      <c r="E36" s="108" t="s">
        <v>104</v>
      </c>
      <c r="F36" s="46">
        <v>120</v>
      </c>
      <c r="G36" s="122"/>
      <c r="H36" s="124">
        <f t="shared" si="3"/>
        <v>0</v>
      </c>
      <c r="I36" s="125" t="s">
        <v>151</v>
      </c>
      <c r="J36" s="88"/>
      <c r="K36" s="88"/>
      <c r="L36" s="120"/>
      <c r="M36" s="126"/>
    </row>
    <row r="37" spans="1:13" s="127" customFormat="1" ht="35.25" customHeight="1" x14ac:dyDescent="0.25">
      <c r="A37" s="249"/>
      <c r="B37" s="223"/>
      <c r="C37" s="40" t="s">
        <v>148</v>
      </c>
      <c r="D37" s="40" t="s">
        <v>146</v>
      </c>
      <c r="E37" s="108" t="s">
        <v>104</v>
      </c>
      <c r="F37" s="46">
        <v>120</v>
      </c>
      <c r="G37" s="122"/>
      <c r="H37" s="124">
        <f t="shared" si="3"/>
        <v>0</v>
      </c>
      <c r="I37" s="125" t="s">
        <v>151</v>
      </c>
      <c r="J37" s="88"/>
      <c r="K37" s="88"/>
      <c r="L37" s="120"/>
      <c r="M37" s="126"/>
    </row>
    <row r="38" spans="1:13" s="128" customFormat="1" ht="51.75" customHeight="1" x14ac:dyDescent="0.25">
      <c r="A38" s="249"/>
      <c r="B38" s="223"/>
      <c r="C38" s="107" t="s">
        <v>149</v>
      </c>
      <c r="D38" s="45" t="s">
        <v>154</v>
      </c>
      <c r="E38" s="108" t="s">
        <v>104</v>
      </c>
      <c r="F38" s="46">
        <v>120</v>
      </c>
      <c r="G38" s="122"/>
      <c r="H38" s="124">
        <f t="shared" si="3"/>
        <v>0</v>
      </c>
      <c r="I38" s="125" t="s">
        <v>151</v>
      </c>
      <c r="J38" s="88"/>
      <c r="K38" s="88"/>
      <c r="L38" s="120"/>
      <c r="M38" s="126"/>
    </row>
    <row r="39" spans="1:13" s="128" customFormat="1" ht="38.25" customHeight="1" x14ac:dyDescent="0.25">
      <c r="A39" s="249"/>
      <c r="B39" s="224"/>
      <c r="C39" s="107" t="s">
        <v>152</v>
      </c>
      <c r="D39" s="45" t="s">
        <v>154</v>
      </c>
      <c r="E39" s="108" t="s">
        <v>104</v>
      </c>
      <c r="F39" s="46">
        <v>120</v>
      </c>
      <c r="G39" s="122"/>
      <c r="H39" s="124">
        <f t="shared" si="3"/>
        <v>0</v>
      </c>
      <c r="I39" s="125" t="s">
        <v>151</v>
      </c>
      <c r="J39" s="88"/>
      <c r="K39" s="88"/>
      <c r="L39" s="120"/>
      <c r="M39" s="126"/>
    </row>
    <row r="40" spans="1:13" ht="35.4" customHeight="1" x14ac:dyDescent="0.25">
      <c r="A40" s="249"/>
      <c r="B40" s="108" t="s">
        <v>155</v>
      </c>
      <c r="C40" s="275" t="s">
        <v>156</v>
      </c>
      <c r="D40" s="276"/>
      <c r="E40" s="108" t="s">
        <v>157</v>
      </c>
      <c r="F40" s="39">
        <v>120</v>
      </c>
      <c r="G40" s="111"/>
      <c r="H40" s="116">
        <f t="shared" si="0"/>
        <v>0</v>
      </c>
      <c r="I40" s="67" t="s">
        <v>158</v>
      </c>
      <c r="J40" s="88"/>
    </row>
    <row r="41" spans="1:13" ht="32.4" customHeight="1" x14ac:dyDescent="0.25">
      <c r="A41" s="249"/>
      <c r="B41" s="108" t="s">
        <v>159</v>
      </c>
      <c r="C41" s="275" t="s">
        <v>160</v>
      </c>
      <c r="D41" s="276"/>
      <c r="E41" s="39" t="s">
        <v>161</v>
      </c>
      <c r="F41" s="46">
        <v>120</v>
      </c>
      <c r="G41" s="111"/>
      <c r="H41" s="116">
        <f t="shared" si="0"/>
        <v>0</v>
      </c>
      <c r="I41" s="129" t="s">
        <v>158</v>
      </c>
      <c r="J41" s="88"/>
    </row>
    <row r="42" spans="1:13" ht="32.4" customHeight="1" x14ac:dyDescent="0.25">
      <c r="A42" s="249"/>
      <c r="B42" s="108" t="s">
        <v>162</v>
      </c>
      <c r="C42" s="275" t="s">
        <v>163</v>
      </c>
      <c r="D42" s="276"/>
      <c r="E42" s="39" t="s">
        <v>161</v>
      </c>
      <c r="F42" s="46">
        <v>120</v>
      </c>
      <c r="G42" s="111"/>
      <c r="H42" s="116" t="s">
        <v>18</v>
      </c>
      <c r="I42" s="130" t="s">
        <v>164</v>
      </c>
      <c r="J42" s="88"/>
    </row>
    <row r="43" spans="1:13" ht="48" customHeight="1" x14ac:dyDescent="0.25">
      <c r="A43" s="249"/>
      <c r="B43" s="222" t="s">
        <v>165</v>
      </c>
      <c r="C43" s="275" t="s">
        <v>166</v>
      </c>
      <c r="D43" s="276"/>
      <c r="E43" s="131" t="s">
        <v>393</v>
      </c>
      <c r="F43" s="39">
        <f>120*45</f>
        <v>5400</v>
      </c>
      <c r="G43" s="111"/>
      <c r="H43" s="116">
        <f t="shared" si="0"/>
        <v>0</v>
      </c>
      <c r="I43" s="125" t="s">
        <v>392</v>
      </c>
      <c r="J43" s="88"/>
    </row>
    <row r="44" spans="1:13" ht="57.9" customHeight="1" x14ac:dyDescent="0.25">
      <c r="A44" s="249"/>
      <c r="B44" s="224"/>
      <c r="C44" s="277" t="s">
        <v>382</v>
      </c>
      <c r="D44" s="267"/>
      <c r="E44" s="39" t="s">
        <v>167</v>
      </c>
      <c r="F44" s="39">
        <f>2700+180</f>
        <v>2880</v>
      </c>
      <c r="G44" s="111"/>
      <c r="H44" s="116">
        <f t="shared" si="0"/>
        <v>0</v>
      </c>
      <c r="I44" s="125" t="s">
        <v>168</v>
      </c>
      <c r="J44" s="88"/>
    </row>
    <row r="45" spans="1:13" ht="45" customHeight="1" x14ac:dyDescent="0.25">
      <c r="A45" s="249"/>
      <c r="B45" s="222" t="s">
        <v>169</v>
      </c>
      <c r="C45" s="275" t="s">
        <v>170</v>
      </c>
      <c r="D45" s="276"/>
      <c r="E45" s="132" t="s">
        <v>171</v>
      </c>
      <c r="F45" s="82">
        <v>1</v>
      </c>
      <c r="G45" s="117"/>
      <c r="H45" s="116" t="s">
        <v>18</v>
      </c>
      <c r="I45" s="133" t="s">
        <v>164</v>
      </c>
      <c r="J45" s="88"/>
      <c r="L45" s="101"/>
      <c r="M45" s="202"/>
    </row>
    <row r="46" spans="1:13" ht="45" customHeight="1" x14ac:dyDescent="0.25">
      <c r="A46" s="250"/>
      <c r="B46" s="257"/>
      <c r="C46" s="278" t="s">
        <v>172</v>
      </c>
      <c r="D46" s="279"/>
      <c r="E46" s="132" t="s">
        <v>171</v>
      </c>
      <c r="F46" s="134">
        <v>1</v>
      </c>
      <c r="G46" s="135"/>
      <c r="H46" s="116" t="s">
        <v>18</v>
      </c>
      <c r="I46" s="136" t="s">
        <v>164</v>
      </c>
      <c r="J46" s="88"/>
      <c r="L46" s="101"/>
      <c r="M46" s="202"/>
    </row>
    <row r="47" spans="1:13" ht="27" customHeight="1" x14ac:dyDescent="0.25">
      <c r="A47" s="248" t="s">
        <v>391</v>
      </c>
      <c r="B47" s="256" t="s">
        <v>73</v>
      </c>
      <c r="C47" s="98" t="s">
        <v>74</v>
      </c>
      <c r="D47" s="99" t="s">
        <v>173</v>
      </c>
      <c r="E47" s="208" t="s">
        <v>76</v>
      </c>
      <c r="F47" s="230">
        <v>40</v>
      </c>
      <c r="G47" s="208"/>
      <c r="H47" s="216">
        <f t="shared" si="0"/>
        <v>0</v>
      </c>
      <c r="I47" s="203" t="s">
        <v>174</v>
      </c>
      <c r="J47" s="88"/>
    </row>
    <row r="48" spans="1:13" ht="27" customHeight="1" x14ac:dyDescent="0.25">
      <c r="A48" s="249"/>
      <c r="B48" s="223"/>
      <c r="C48" s="102" t="s">
        <v>78</v>
      </c>
      <c r="D48" s="103" t="s">
        <v>175</v>
      </c>
      <c r="E48" s="209"/>
      <c r="F48" s="228"/>
      <c r="G48" s="209"/>
      <c r="H48" s="217"/>
      <c r="I48" s="204"/>
      <c r="J48" s="88"/>
    </row>
    <row r="49" spans="1:10" ht="69.650000000000006" customHeight="1" x14ac:dyDescent="0.25">
      <c r="A49" s="249"/>
      <c r="B49" s="224"/>
      <c r="C49" s="104" t="s">
        <v>80</v>
      </c>
      <c r="D49" s="103" t="s">
        <v>176</v>
      </c>
      <c r="E49" s="210"/>
      <c r="F49" s="229"/>
      <c r="G49" s="210"/>
      <c r="H49" s="218"/>
      <c r="I49" s="205"/>
      <c r="J49" s="88"/>
    </row>
    <row r="50" spans="1:10" ht="93" customHeight="1" x14ac:dyDescent="0.25">
      <c r="A50" s="249"/>
      <c r="B50" s="107" t="s">
        <v>81</v>
      </c>
      <c r="C50" s="280" t="s">
        <v>379</v>
      </c>
      <c r="D50" s="276"/>
      <c r="E50" s="108" t="s">
        <v>82</v>
      </c>
      <c r="F50" s="39">
        <f>40*281+16*56</f>
        <v>12136</v>
      </c>
      <c r="G50" s="40"/>
      <c r="H50" s="47">
        <v>0</v>
      </c>
      <c r="I50" s="42" t="s">
        <v>177</v>
      </c>
      <c r="J50" s="110"/>
    </row>
    <row r="51" spans="1:10" ht="24.9" customHeight="1" x14ac:dyDescent="0.25">
      <c r="A51" s="249"/>
      <c r="B51" s="222" t="s">
        <v>84</v>
      </c>
      <c r="C51" s="104" t="s">
        <v>85</v>
      </c>
      <c r="D51" s="104" t="s">
        <v>19</v>
      </c>
      <c r="E51" s="222" t="s">
        <v>104</v>
      </c>
      <c r="F51" s="227">
        <v>440</v>
      </c>
      <c r="G51" s="211"/>
      <c r="H51" s="219">
        <f>G51*F51</f>
        <v>0</v>
      </c>
      <c r="I51" s="206" t="s">
        <v>178</v>
      </c>
      <c r="J51" s="88"/>
    </row>
    <row r="52" spans="1:10" ht="24.9" customHeight="1" x14ac:dyDescent="0.25">
      <c r="A52" s="249"/>
      <c r="B52" s="223"/>
      <c r="C52" s="111" t="s">
        <v>88</v>
      </c>
      <c r="D52" s="137" t="s">
        <v>179</v>
      </c>
      <c r="E52" s="223"/>
      <c r="F52" s="228"/>
      <c r="G52" s="209"/>
      <c r="H52" s="217"/>
      <c r="I52" s="204"/>
      <c r="J52" s="88"/>
    </row>
    <row r="53" spans="1:10" ht="24.9" customHeight="1" x14ac:dyDescent="0.25">
      <c r="A53" s="249"/>
      <c r="B53" s="224"/>
      <c r="C53" s="104" t="s">
        <v>90</v>
      </c>
      <c r="D53" s="104" t="s">
        <v>21</v>
      </c>
      <c r="E53" s="224"/>
      <c r="F53" s="229"/>
      <c r="G53" s="210"/>
      <c r="H53" s="218"/>
      <c r="I53" s="205"/>
      <c r="J53" s="88"/>
    </row>
    <row r="54" spans="1:10" ht="24.9" customHeight="1" x14ac:dyDescent="0.25">
      <c r="A54" s="249"/>
      <c r="B54" s="222" t="s">
        <v>91</v>
      </c>
      <c r="C54" s="113" t="s">
        <v>92</v>
      </c>
      <c r="D54" s="138" t="s">
        <v>180</v>
      </c>
      <c r="E54" s="115" t="s">
        <v>94</v>
      </c>
      <c r="F54" s="39">
        <v>11</v>
      </c>
      <c r="G54" s="104"/>
      <c r="H54" s="116">
        <f t="shared" ref="H54:H75" si="4">G54*F54</f>
        <v>0</v>
      </c>
      <c r="I54" s="67" t="s">
        <v>181</v>
      </c>
      <c r="J54" s="88"/>
    </row>
    <row r="55" spans="1:10" ht="24.9" customHeight="1" x14ac:dyDescent="0.25">
      <c r="A55" s="249"/>
      <c r="B55" s="224"/>
      <c r="C55" s="104" t="s">
        <v>96</v>
      </c>
      <c r="D55" s="45" t="s">
        <v>182</v>
      </c>
      <c r="E55" s="115" t="s">
        <v>94</v>
      </c>
      <c r="F55" s="39">
        <v>4</v>
      </c>
      <c r="G55" s="104"/>
      <c r="H55" s="116">
        <f t="shared" si="4"/>
        <v>0</v>
      </c>
      <c r="I55" s="67" t="s">
        <v>183</v>
      </c>
      <c r="J55" s="88"/>
    </row>
    <row r="56" spans="1:10" ht="33.9" customHeight="1" x14ac:dyDescent="0.25">
      <c r="A56" s="249"/>
      <c r="B56" s="222" t="s">
        <v>99</v>
      </c>
      <c r="C56" s="234" t="s">
        <v>100</v>
      </c>
      <c r="D56" s="111" t="s">
        <v>184</v>
      </c>
      <c r="E56" s="108" t="s">
        <v>185</v>
      </c>
      <c r="F56" s="39">
        <f>40*2*281+16*2*56</f>
        <v>24272</v>
      </c>
      <c r="G56" s="40"/>
      <c r="H56" s="47">
        <f t="shared" si="4"/>
        <v>0</v>
      </c>
      <c r="I56" s="42" t="s">
        <v>186</v>
      </c>
      <c r="J56" s="88"/>
    </row>
    <row r="57" spans="1:10" ht="40.5" customHeight="1" x14ac:dyDescent="0.25">
      <c r="A57" s="249"/>
      <c r="B57" s="223"/>
      <c r="C57" s="235"/>
      <c r="D57" s="111" t="s">
        <v>103</v>
      </c>
      <c r="E57" s="108" t="s">
        <v>104</v>
      </c>
      <c r="F57" s="39">
        <f>40*40+16*8</f>
        <v>1728</v>
      </c>
      <c r="G57" s="40"/>
      <c r="H57" s="47">
        <f t="shared" si="4"/>
        <v>0</v>
      </c>
      <c r="I57" s="42" t="s">
        <v>187</v>
      </c>
      <c r="J57" s="88"/>
    </row>
    <row r="58" spans="1:10" ht="39" customHeight="1" x14ac:dyDescent="0.25">
      <c r="A58" s="249"/>
      <c r="B58" s="223"/>
      <c r="C58" s="111" t="s">
        <v>106</v>
      </c>
      <c r="D58" s="111" t="s">
        <v>188</v>
      </c>
      <c r="E58" s="108" t="s">
        <v>104</v>
      </c>
      <c r="F58" s="39">
        <f>40*288+16*56</f>
        <v>12416</v>
      </c>
      <c r="G58" s="40"/>
      <c r="H58" s="47">
        <f t="shared" si="4"/>
        <v>0</v>
      </c>
      <c r="I58" s="42" t="s">
        <v>189</v>
      </c>
      <c r="J58" s="88"/>
    </row>
    <row r="59" spans="1:10" ht="39.75" customHeight="1" x14ac:dyDescent="0.25">
      <c r="A59" s="249"/>
      <c r="B59" s="223"/>
      <c r="C59" s="111" t="s">
        <v>110</v>
      </c>
      <c r="D59" s="111" t="s">
        <v>190</v>
      </c>
      <c r="E59" s="108" t="s">
        <v>104</v>
      </c>
      <c r="F59" s="39">
        <f>80+40*40+16*8</f>
        <v>1808</v>
      </c>
      <c r="G59" s="111"/>
      <c r="H59" s="116">
        <f t="shared" si="4"/>
        <v>0</v>
      </c>
      <c r="I59" s="125" t="s">
        <v>191</v>
      </c>
      <c r="J59" s="88"/>
    </row>
    <row r="60" spans="1:10" ht="45.9" customHeight="1" x14ac:dyDescent="0.25">
      <c r="A60" s="249"/>
      <c r="B60" s="223"/>
      <c r="C60" s="111" t="s">
        <v>113</v>
      </c>
      <c r="D60" s="111" t="s">
        <v>192</v>
      </c>
      <c r="E60" s="108" t="s">
        <v>104</v>
      </c>
      <c r="F60" s="39">
        <v>216</v>
      </c>
      <c r="G60" s="111"/>
      <c r="H60" s="116">
        <f t="shared" si="4"/>
        <v>0</v>
      </c>
      <c r="I60" s="125" t="s">
        <v>193</v>
      </c>
      <c r="J60" s="88"/>
    </row>
    <row r="61" spans="1:10" ht="48.65" customHeight="1" x14ac:dyDescent="0.25">
      <c r="A61" s="249"/>
      <c r="B61" s="224"/>
      <c r="C61" s="117" t="s">
        <v>116</v>
      </c>
      <c r="D61" s="111" t="s">
        <v>194</v>
      </c>
      <c r="E61" s="108" t="s">
        <v>104</v>
      </c>
      <c r="F61" s="39">
        <v>96</v>
      </c>
      <c r="G61" s="111"/>
      <c r="H61" s="116">
        <f t="shared" si="4"/>
        <v>0</v>
      </c>
      <c r="I61" s="125" t="s">
        <v>195</v>
      </c>
      <c r="J61" s="88"/>
    </row>
    <row r="62" spans="1:10" ht="47.4" customHeight="1" x14ac:dyDescent="0.25">
      <c r="A62" s="249"/>
      <c r="B62" s="222" t="s">
        <v>119</v>
      </c>
      <c r="C62" s="117" t="s">
        <v>120</v>
      </c>
      <c r="D62" s="111" t="s">
        <v>196</v>
      </c>
      <c r="E62" s="108" t="s">
        <v>104</v>
      </c>
      <c r="F62" s="39">
        <f>256</f>
        <v>256</v>
      </c>
      <c r="G62" s="104"/>
      <c r="H62" s="116">
        <f t="shared" si="4"/>
        <v>0</v>
      </c>
      <c r="I62" s="125" t="s">
        <v>197</v>
      </c>
      <c r="J62" s="88"/>
    </row>
    <row r="63" spans="1:10" ht="47.4" customHeight="1" x14ac:dyDescent="0.25">
      <c r="A63" s="249"/>
      <c r="B63" s="223"/>
      <c r="C63" s="117" t="s">
        <v>123</v>
      </c>
      <c r="D63" s="111" t="s">
        <v>196</v>
      </c>
      <c r="E63" s="108" t="s">
        <v>104</v>
      </c>
      <c r="F63" s="39">
        <f>256</f>
        <v>256</v>
      </c>
      <c r="G63" s="104"/>
      <c r="H63" s="116">
        <f t="shared" si="4"/>
        <v>0</v>
      </c>
      <c r="I63" s="125" t="s">
        <v>197</v>
      </c>
      <c r="J63" s="88"/>
    </row>
    <row r="64" spans="1:10" ht="47.4" customHeight="1" x14ac:dyDescent="0.25">
      <c r="A64" s="249"/>
      <c r="B64" s="223"/>
      <c r="C64" s="117" t="s">
        <v>124</v>
      </c>
      <c r="D64" s="111" t="s">
        <v>196</v>
      </c>
      <c r="E64" s="108" t="s">
        <v>104</v>
      </c>
      <c r="F64" s="39">
        <f>256</f>
        <v>256</v>
      </c>
      <c r="G64" s="104"/>
      <c r="H64" s="116">
        <f t="shared" si="4"/>
        <v>0</v>
      </c>
      <c r="I64" s="125" t="s">
        <v>197</v>
      </c>
      <c r="J64" s="88"/>
    </row>
    <row r="65" spans="1:13" ht="47.4" customHeight="1" x14ac:dyDescent="0.25">
      <c r="A65" s="249"/>
      <c r="B65" s="223"/>
      <c r="C65" s="117" t="s">
        <v>125</v>
      </c>
      <c r="D65" s="111" t="s">
        <v>196</v>
      </c>
      <c r="E65" s="108" t="s">
        <v>104</v>
      </c>
      <c r="F65" s="39">
        <f>256</f>
        <v>256</v>
      </c>
      <c r="G65" s="104"/>
      <c r="H65" s="116">
        <f t="shared" si="4"/>
        <v>0</v>
      </c>
      <c r="I65" s="125" t="s">
        <v>197</v>
      </c>
      <c r="J65" s="88"/>
    </row>
    <row r="66" spans="1:13" ht="47.4" customHeight="1" x14ac:dyDescent="0.25">
      <c r="A66" s="249"/>
      <c r="B66" s="224"/>
      <c r="C66" s="117" t="s">
        <v>126</v>
      </c>
      <c r="D66" s="111" t="s">
        <v>198</v>
      </c>
      <c r="E66" s="108" t="s">
        <v>104</v>
      </c>
      <c r="F66" s="39">
        <f>216</f>
        <v>216</v>
      </c>
      <c r="G66" s="104"/>
      <c r="H66" s="116">
        <f t="shared" si="4"/>
        <v>0</v>
      </c>
      <c r="I66" s="125" t="s">
        <v>199</v>
      </c>
      <c r="J66" s="88"/>
    </row>
    <row r="67" spans="1:13" ht="69.75" customHeight="1" x14ac:dyDescent="0.25">
      <c r="A67" s="249"/>
      <c r="B67" s="53" t="s">
        <v>200</v>
      </c>
      <c r="C67" s="281" t="s">
        <v>201</v>
      </c>
      <c r="D67" s="281"/>
      <c r="E67" s="108" t="s">
        <v>104</v>
      </c>
      <c r="F67" s="39">
        <f>40*4+16</f>
        <v>176</v>
      </c>
      <c r="G67" s="53"/>
      <c r="H67" s="116">
        <f t="shared" si="4"/>
        <v>0</v>
      </c>
      <c r="I67" s="125" t="s">
        <v>202</v>
      </c>
      <c r="J67" s="88"/>
    </row>
    <row r="68" spans="1:13" ht="100.5" customHeight="1" x14ac:dyDescent="0.25">
      <c r="A68" s="249"/>
      <c r="B68" s="108" t="s">
        <v>203</v>
      </c>
      <c r="C68" s="260" t="s">
        <v>204</v>
      </c>
      <c r="D68" s="260"/>
      <c r="E68" s="53" t="s">
        <v>171</v>
      </c>
      <c r="F68" s="39">
        <v>1</v>
      </c>
      <c r="G68" s="108"/>
      <c r="H68" s="139" t="s">
        <v>385</v>
      </c>
      <c r="I68" s="123" t="s">
        <v>321</v>
      </c>
      <c r="J68" s="88"/>
    </row>
    <row r="69" spans="1:13" ht="70.5" customHeight="1" x14ac:dyDescent="0.25">
      <c r="A69" s="249"/>
      <c r="B69" s="227" t="s">
        <v>127</v>
      </c>
      <c r="C69" s="79" t="s">
        <v>62</v>
      </c>
      <c r="D69" s="140" t="s">
        <v>205</v>
      </c>
      <c r="E69" s="39" t="s">
        <v>86</v>
      </c>
      <c r="F69" s="53">
        <v>1110</v>
      </c>
      <c r="G69" s="40"/>
      <c r="H69" s="47">
        <f t="shared" si="4"/>
        <v>0</v>
      </c>
      <c r="I69" s="42" t="s">
        <v>206</v>
      </c>
      <c r="J69" s="88"/>
    </row>
    <row r="70" spans="1:13" ht="43.5" customHeight="1" x14ac:dyDescent="0.25">
      <c r="A70" s="249"/>
      <c r="B70" s="228"/>
      <c r="C70" s="79" t="s">
        <v>131</v>
      </c>
      <c r="D70" s="86" t="s">
        <v>207</v>
      </c>
      <c r="E70" s="39" t="s">
        <v>86</v>
      </c>
      <c r="F70" s="39">
        <v>40</v>
      </c>
      <c r="G70" s="40"/>
      <c r="H70" s="47">
        <f t="shared" si="4"/>
        <v>0</v>
      </c>
      <c r="I70" s="42" t="s">
        <v>208</v>
      </c>
      <c r="J70" s="88"/>
    </row>
    <row r="71" spans="1:13" ht="48.65" customHeight="1" x14ac:dyDescent="0.25">
      <c r="A71" s="249"/>
      <c r="B71" s="229"/>
      <c r="C71" s="79" t="s">
        <v>134</v>
      </c>
      <c r="D71" s="45" t="s">
        <v>209</v>
      </c>
      <c r="E71" s="39" t="s">
        <v>86</v>
      </c>
      <c r="F71" s="39">
        <v>40</v>
      </c>
      <c r="G71" s="40"/>
      <c r="H71" s="47">
        <f t="shared" si="4"/>
        <v>0</v>
      </c>
      <c r="I71" s="42" t="s">
        <v>208</v>
      </c>
      <c r="J71" s="88"/>
    </row>
    <row r="72" spans="1:13" ht="96" customHeight="1" x14ac:dyDescent="0.25">
      <c r="A72" s="249"/>
      <c r="B72" s="227" t="s">
        <v>136</v>
      </c>
      <c r="C72" s="262" t="s">
        <v>325</v>
      </c>
      <c r="D72" s="263"/>
      <c r="E72" s="39" t="s">
        <v>86</v>
      </c>
      <c r="F72" s="53">
        <f>60+30*33+60+111</f>
        <v>1221</v>
      </c>
      <c r="G72" s="40"/>
      <c r="H72" s="47">
        <f t="shared" si="4"/>
        <v>0</v>
      </c>
      <c r="I72" s="42" t="s">
        <v>210</v>
      </c>
      <c r="J72" s="88"/>
    </row>
    <row r="73" spans="1:13" ht="65.25" customHeight="1" x14ac:dyDescent="0.25">
      <c r="A73" s="249"/>
      <c r="B73" s="229"/>
      <c r="C73" s="262" t="s">
        <v>326</v>
      </c>
      <c r="D73" s="263"/>
      <c r="E73" s="39" t="s">
        <v>86</v>
      </c>
      <c r="F73" s="39">
        <v>44</v>
      </c>
      <c r="G73" s="40"/>
      <c r="H73" s="47">
        <f t="shared" si="4"/>
        <v>0</v>
      </c>
      <c r="I73" s="42" t="s">
        <v>211</v>
      </c>
      <c r="J73" s="141"/>
    </row>
    <row r="74" spans="1:13" ht="48" customHeight="1" x14ac:dyDescent="0.25">
      <c r="A74" s="249"/>
      <c r="B74" s="39" t="s">
        <v>138</v>
      </c>
      <c r="C74" s="262" t="s">
        <v>212</v>
      </c>
      <c r="D74" s="263"/>
      <c r="E74" s="118" t="s">
        <v>386</v>
      </c>
      <c r="F74" s="39">
        <f>240+32</f>
        <v>272</v>
      </c>
      <c r="G74" s="40"/>
      <c r="H74" s="47">
        <f t="shared" si="4"/>
        <v>0</v>
      </c>
      <c r="I74" s="42" t="s">
        <v>213</v>
      </c>
      <c r="J74" s="88"/>
    </row>
    <row r="75" spans="1:13" ht="48" customHeight="1" x14ac:dyDescent="0.25">
      <c r="A75" s="249"/>
      <c r="B75" s="227" t="s">
        <v>141</v>
      </c>
      <c r="C75" s="274" t="s">
        <v>214</v>
      </c>
      <c r="D75" s="271"/>
      <c r="E75" s="39" t="s">
        <v>86</v>
      </c>
      <c r="F75" s="84">
        <v>272</v>
      </c>
      <c r="G75" s="40"/>
      <c r="H75" s="47">
        <f t="shared" si="4"/>
        <v>0</v>
      </c>
      <c r="I75" s="42" t="s">
        <v>215</v>
      </c>
      <c r="J75" s="88"/>
    </row>
    <row r="76" spans="1:13" ht="48" customHeight="1" x14ac:dyDescent="0.25">
      <c r="A76" s="249"/>
      <c r="B76" s="228"/>
      <c r="C76" s="274" t="s">
        <v>366</v>
      </c>
      <c r="D76" s="271"/>
      <c r="E76" s="39" t="s">
        <v>86</v>
      </c>
      <c r="F76" s="84">
        <v>136</v>
      </c>
      <c r="G76" s="40"/>
      <c r="H76" s="47">
        <f t="shared" ref="H76" si="5">G76*F76</f>
        <v>0</v>
      </c>
      <c r="I76" s="42" t="s">
        <v>216</v>
      </c>
      <c r="J76" s="88"/>
    </row>
    <row r="77" spans="1:13" ht="48" customHeight="1" x14ac:dyDescent="0.25">
      <c r="A77" s="249"/>
      <c r="B77" s="229"/>
      <c r="C77" s="274" t="s">
        <v>367</v>
      </c>
      <c r="D77" s="271"/>
      <c r="E77" s="39" t="s">
        <v>86</v>
      </c>
      <c r="F77" s="84">
        <v>68</v>
      </c>
      <c r="G77" s="40"/>
      <c r="H77" s="121"/>
      <c r="I77" s="42" t="s">
        <v>368</v>
      </c>
      <c r="J77" s="88"/>
    </row>
    <row r="78" spans="1:13" ht="38.25" customHeight="1" x14ac:dyDescent="0.25">
      <c r="A78" s="249"/>
      <c r="B78" s="222" t="s">
        <v>144</v>
      </c>
      <c r="C78" s="40" t="s">
        <v>145</v>
      </c>
      <c r="D78" s="40" t="s">
        <v>217</v>
      </c>
      <c r="E78" s="108" t="s">
        <v>104</v>
      </c>
      <c r="F78" s="39" t="s">
        <v>18</v>
      </c>
      <c r="G78" s="40"/>
      <c r="H78" s="121" t="s">
        <v>18</v>
      </c>
      <c r="I78" s="142" t="s">
        <v>61</v>
      </c>
      <c r="J78" s="88"/>
    </row>
    <row r="79" spans="1:13" ht="30" customHeight="1" x14ac:dyDescent="0.25">
      <c r="A79" s="249"/>
      <c r="B79" s="223"/>
      <c r="C79" s="40" t="s">
        <v>148</v>
      </c>
      <c r="D79" s="40" t="s">
        <v>217</v>
      </c>
      <c r="E79" s="108" t="s">
        <v>104</v>
      </c>
      <c r="F79" s="39" t="s">
        <v>18</v>
      </c>
      <c r="G79" s="40"/>
      <c r="H79" s="121" t="s">
        <v>18</v>
      </c>
      <c r="I79" s="142" t="s">
        <v>61</v>
      </c>
      <c r="J79" s="88"/>
    </row>
    <row r="80" spans="1:13" s="127" customFormat="1" ht="56.25" customHeight="1" x14ac:dyDescent="0.25">
      <c r="A80" s="249"/>
      <c r="B80" s="223"/>
      <c r="C80" s="107" t="s">
        <v>149</v>
      </c>
      <c r="D80" s="107" t="s">
        <v>218</v>
      </c>
      <c r="E80" s="108" t="s">
        <v>104</v>
      </c>
      <c r="F80" s="46">
        <f>200+16</f>
        <v>216</v>
      </c>
      <c r="G80" s="122"/>
      <c r="H80" s="124">
        <f t="shared" ref="H80:H85" si="6">F80*G80</f>
        <v>0</v>
      </c>
      <c r="I80" s="125" t="s">
        <v>199</v>
      </c>
      <c r="J80" s="88"/>
      <c r="K80" s="88"/>
      <c r="L80" s="120"/>
      <c r="M80" s="126"/>
    </row>
    <row r="81" spans="1:13" s="127" customFormat="1" ht="49.5" customHeight="1" x14ac:dyDescent="0.25">
      <c r="A81" s="249"/>
      <c r="B81" s="224"/>
      <c r="C81" s="107" t="s">
        <v>152</v>
      </c>
      <c r="D81" s="107" t="s">
        <v>218</v>
      </c>
      <c r="E81" s="108" t="s">
        <v>104</v>
      </c>
      <c r="F81" s="46">
        <f t="shared" ref="F81:F85" si="7">200+16</f>
        <v>216</v>
      </c>
      <c r="G81" s="122"/>
      <c r="H81" s="124">
        <f t="shared" si="6"/>
        <v>0</v>
      </c>
      <c r="I81" s="125" t="s">
        <v>199</v>
      </c>
      <c r="J81" s="88"/>
      <c r="K81" s="88"/>
      <c r="L81" s="120"/>
      <c r="M81" s="126"/>
    </row>
    <row r="82" spans="1:13" s="127" customFormat="1" ht="51.75" customHeight="1" x14ac:dyDescent="0.25">
      <c r="A82" s="249"/>
      <c r="B82" s="222" t="s">
        <v>153</v>
      </c>
      <c r="C82" s="40" t="s">
        <v>145</v>
      </c>
      <c r="D82" s="40" t="s">
        <v>217</v>
      </c>
      <c r="E82" s="108" t="s">
        <v>104</v>
      </c>
      <c r="F82" s="46">
        <f t="shared" si="7"/>
        <v>216</v>
      </c>
      <c r="G82" s="122"/>
      <c r="H82" s="124">
        <f t="shared" si="6"/>
        <v>0</v>
      </c>
      <c r="I82" s="125" t="s">
        <v>199</v>
      </c>
      <c r="J82" s="88"/>
      <c r="K82" s="88"/>
      <c r="L82" s="120"/>
      <c r="M82" s="126"/>
    </row>
    <row r="83" spans="1:13" s="127" customFormat="1" ht="48" customHeight="1" x14ac:dyDescent="0.25">
      <c r="A83" s="249"/>
      <c r="B83" s="223"/>
      <c r="C83" s="40" t="s">
        <v>148</v>
      </c>
      <c r="D83" s="40" t="s">
        <v>217</v>
      </c>
      <c r="E83" s="108" t="s">
        <v>104</v>
      </c>
      <c r="F83" s="46">
        <f t="shared" si="7"/>
        <v>216</v>
      </c>
      <c r="G83" s="122"/>
      <c r="H83" s="124">
        <f t="shared" si="6"/>
        <v>0</v>
      </c>
      <c r="I83" s="125" t="s">
        <v>199</v>
      </c>
      <c r="J83" s="88"/>
      <c r="K83" s="88"/>
      <c r="L83" s="120"/>
      <c r="M83" s="126"/>
    </row>
    <row r="84" spans="1:13" s="127" customFormat="1" ht="63" customHeight="1" x14ac:dyDescent="0.25">
      <c r="A84" s="249"/>
      <c r="B84" s="223"/>
      <c r="C84" s="107" t="s">
        <v>149</v>
      </c>
      <c r="D84" s="45" t="s">
        <v>217</v>
      </c>
      <c r="E84" s="108" t="s">
        <v>104</v>
      </c>
      <c r="F84" s="46">
        <f t="shared" si="7"/>
        <v>216</v>
      </c>
      <c r="G84" s="122"/>
      <c r="H84" s="124">
        <f t="shared" si="6"/>
        <v>0</v>
      </c>
      <c r="I84" s="125" t="s">
        <v>199</v>
      </c>
      <c r="J84" s="88"/>
      <c r="K84" s="88"/>
      <c r="L84" s="120"/>
      <c r="M84" s="126"/>
    </row>
    <row r="85" spans="1:13" s="127" customFormat="1" ht="47.25" customHeight="1" x14ac:dyDescent="0.25">
      <c r="A85" s="249"/>
      <c r="B85" s="224"/>
      <c r="C85" s="107" t="s">
        <v>152</v>
      </c>
      <c r="D85" s="45" t="s">
        <v>217</v>
      </c>
      <c r="E85" s="108" t="s">
        <v>104</v>
      </c>
      <c r="F85" s="46">
        <f t="shared" si="7"/>
        <v>216</v>
      </c>
      <c r="G85" s="122"/>
      <c r="H85" s="124">
        <f t="shared" si="6"/>
        <v>0</v>
      </c>
      <c r="I85" s="125" t="s">
        <v>199</v>
      </c>
      <c r="J85" s="88"/>
      <c r="K85" s="88"/>
      <c r="L85" s="120"/>
      <c r="M85" s="126"/>
    </row>
    <row r="86" spans="1:13" ht="36.65" customHeight="1" x14ac:dyDescent="0.25">
      <c r="A86" s="249"/>
      <c r="B86" s="108" t="s">
        <v>155</v>
      </c>
      <c r="C86" s="275" t="s">
        <v>156</v>
      </c>
      <c r="D86" s="276"/>
      <c r="E86" s="108" t="s">
        <v>157</v>
      </c>
      <c r="F86" s="39">
        <v>40</v>
      </c>
      <c r="G86" s="111"/>
      <c r="H86" s="116">
        <f t="shared" ref="H86:H90" si="8">G86*F86</f>
        <v>0</v>
      </c>
      <c r="I86" s="125" t="s">
        <v>219</v>
      </c>
      <c r="J86" s="88"/>
    </row>
    <row r="87" spans="1:13" ht="30.65" customHeight="1" x14ac:dyDescent="0.25">
      <c r="A87" s="249"/>
      <c r="B87" s="108" t="s">
        <v>159</v>
      </c>
      <c r="C87" s="275" t="s">
        <v>160</v>
      </c>
      <c r="D87" s="276"/>
      <c r="E87" s="53" t="s">
        <v>76</v>
      </c>
      <c r="F87" s="39">
        <v>40</v>
      </c>
      <c r="G87" s="111"/>
      <c r="H87" s="116">
        <f t="shared" si="8"/>
        <v>0</v>
      </c>
      <c r="I87" s="125" t="s">
        <v>219</v>
      </c>
      <c r="J87" s="88"/>
    </row>
    <row r="88" spans="1:13" ht="32.4" customHeight="1" x14ac:dyDescent="0.25">
      <c r="A88" s="249"/>
      <c r="B88" s="108" t="s">
        <v>162</v>
      </c>
      <c r="C88" s="275" t="s">
        <v>163</v>
      </c>
      <c r="D88" s="276"/>
      <c r="E88" s="53" t="s">
        <v>76</v>
      </c>
      <c r="F88" s="46">
        <v>40</v>
      </c>
      <c r="G88" s="111"/>
      <c r="H88" s="116" t="s">
        <v>18</v>
      </c>
      <c r="I88" s="130" t="s">
        <v>164</v>
      </c>
      <c r="J88" s="88"/>
    </row>
    <row r="89" spans="1:13" ht="24.9" customHeight="1" x14ac:dyDescent="0.25">
      <c r="A89" s="249"/>
      <c r="B89" s="222" t="s">
        <v>165</v>
      </c>
      <c r="C89" s="275" t="s">
        <v>166</v>
      </c>
      <c r="D89" s="276"/>
      <c r="E89" s="53" t="s">
        <v>76</v>
      </c>
      <c r="F89" s="39">
        <v>40</v>
      </c>
      <c r="G89" s="111"/>
      <c r="H89" s="116">
        <f t="shared" ref="H89" si="9">G89*F89</f>
        <v>0</v>
      </c>
      <c r="I89" s="125" t="s">
        <v>220</v>
      </c>
      <c r="J89" s="88"/>
    </row>
    <row r="90" spans="1:13" ht="36" customHeight="1" x14ac:dyDescent="0.25">
      <c r="A90" s="249"/>
      <c r="B90" s="224"/>
      <c r="C90" s="266" t="s">
        <v>221</v>
      </c>
      <c r="D90" s="267"/>
      <c r="E90" s="53" t="s">
        <v>222</v>
      </c>
      <c r="F90" s="39">
        <f>40*45</f>
        <v>1800</v>
      </c>
      <c r="G90" s="111"/>
      <c r="H90" s="116">
        <f t="shared" si="8"/>
        <v>0</v>
      </c>
      <c r="I90" s="125" t="s">
        <v>223</v>
      </c>
      <c r="J90" s="88"/>
    </row>
    <row r="91" spans="1:13" ht="37.5" customHeight="1" x14ac:dyDescent="0.25">
      <c r="A91" s="249"/>
      <c r="B91" s="227" t="s">
        <v>224</v>
      </c>
      <c r="C91" s="262" t="s">
        <v>225</v>
      </c>
      <c r="D91" s="263"/>
      <c r="E91" s="132" t="s">
        <v>171</v>
      </c>
      <c r="F91" s="82">
        <v>1</v>
      </c>
      <c r="G91" s="117"/>
      <c r="H91" s="116" t="s">
        <v>18</v>
      </c>
      <c r="I91" s="143" t="s">
        <v>380</v>
      </c>
      <c r="J91" s="88"/>
      <c r="M91" s="202"/>
    </row>
    <row r="92" spans="1:13" ht="37.5" customHeight="1" x14ac:dyDescent="0.25">
      <c r="A92" s="250"/>
      <c r="B92" s="240"/>
      <c r="C92" s="268" t="s">
        <v>226</v>
      </c>
      <c r="D92" s="269"/>
      <c r="E92" s="144" t="s">
        <v>171</v>
      </c>
      <c r="F92" s="134">
        <v>1</v>
      </c>
      <c r="G92" s="135"/>
      <c r="H92" s="116" t="s">
        <v>18</v>
      </c>
      <c r="I92" s="136" t="s">
        <v>164</v>
      </c>
      <c r="J92" s="88"/>
      <c r="M92" s="202"/>
    </row>
    <row r="93" spans="1:13" s="127" customFormat="1" ht="27" customHeight="1" x14ac:dyDescent="0.25">
      <c r="A93" s="251" t="s">
        <v>227</v>
      </c>
      <c r="B93" s="225" t="s">
        <v>228</v>
      </c>
      <c r="C93" s="145" t="s">
        <v>229</v>
      </c>
      <c r="D93" s="146" t="s">
        <v>230</v>
      </c>
      <c r="E93" s="225" t="s">
        <v>161</v>
      </c>
      <c r="F93" s="230"/>
      <c r="G93" s="212"/>
      <c r="H93" s="220">
        <f>F93*G93</f>
        <v>0</v>
      </c>
      <c r="I93" s="207" t="s">
        <v>231</v>
      </c>
      <c r="J93" s="88"/>
      <c r="K93" s="88"/>
      <c r="L93" s="120"/>
      <c r="M93" s="126"/>
    </row>
    <row r="94" spans="1:13" s="127" customFormat="1" ht="27" customHeight="1" x14ac:dyDescent="0.25">
      <c r="A94" s="252"/>
      <c r="B94" s="226"/>
      <c r="C94" s="147" t="s">
        <v>232</v>
      </c>
      <c r="D94" s="103" t="s">
        <v>233</v>
      </c>
      <c r="E94" s="226"/>
      <c r="F94" s="228"/>
      <c r="G94" s="213"/>
      <c r="H94" s="221"/>
      <c r="I94" s="198"/>
      <c r="J94" s="88"/>
      <c r="K94" s="88"/>
      <c r="L94" s="120"/>
      <c r="M94" s="126"/>
    </row>
    <row r="95" spans="1:13" s="127" customFormat="1" ht="57.65" customHeight="1" x14ac:dyDescent="0.25">
      <c r="A95" s="252"/>
      <c r="B95" s="226"/>
      <c r="C95" s="40" t="s">
        <v>234</v>
      </c>
      <c r="D95" s="45" t="s">
        <v>235</v>
      </c>
      <c r="E95" s="226"/>
      <c r="F95" s="229"/>
      <c r="G95" s="214"/>
      <c r="H95" s="221"/>
      <c r="I95" s="199"/>
      <c r="J95" s="88"/>
      <c r="K95" s="88"/>
      <c r="L95" s="120"/>
      <c r="M95" s="126"/>
    </row>
    <row r="96" spans="1:13" s="127" customFormat="1" ht="57" customHeight="1" x14ac:dyDescent="0.25">
      <c r="A96" s="252"/>
      <c r="B96" s="39" t="s">
        <v>236</v>
      </c>
      <c r="C96" s="262" t="s">
        <v>235</v>
      </c>
      <c r="D96" s="263"/>
      <c r="E96" s="148" t="s">
        <v>237</v>
      </c>
      <c r="F96" s="149"/>
      <c r="G96" s="46"/>
      <c r="H96" s="47">
        <v>0</v>
      </c>
      <c r="I96" s="42" t="s">
        <v>238</v>
      </c>
      <c r="J96" s="88"/>
      <c r="K96" s="88"/>
      <c r="L96" s="120"/>
      <c r="M96" s="126"/>
    </row>
    <row r="97" spans="1:13" s="127" customFormat="1" ht="30" customHeight="1" x14ac:dyDescent="0.25">
      <c r="A97" s="252"/>
      <c r="B97" s="227" t="s">
        <v>239</v>
      </c>
      <c r="C97" s="40" t="s">
        <v>240</v>
      </c>
      <c r="D97" s="40" t="s">
        <v>19</v>
      </c>
      <c r="E97" s="227" t="s">
        <v>86</v>
      </c>
      <c r="F97" s="231"/>
      <c r="G97" s="215"/>
      <c r="H97" s="221">
        <f>F97*G97</f>
        <v>0</v>
      </c>
      <c r="I97" s="197" t="s">
        <v>241</v>
      </c>
      <c r="J97" s="88"/>
      <c r="K97" s="88"/>
      <c r="L97" s="120"/>
      <c r="M97" s="126"/>
    </row>
    <row r="98" spans="1:13" s="128" customFormat="1" ht="38.15" customHeight="1" x14ac:dyDescent="0.25">
      <c r="A98" s="252"/>
      <c r="B98" s="228"/>
      <c r="C98" s="40" t="s">
        <v>129</v>
      </c>
      <c r="D98" s="112" t="s">
        <v>242</v>
      </c>
      <c r="E98" s="228"/>
      <c r="F98" s="232"/>
      <c r="G98" s="213"/>
      <c r="H98" s="221"/>
      <c r="I98" s="198"/>
      <c r="J98" s="88"/>
      <c r="K98" s="88"/>
      <c r="L98" s="120"/>
      <c r="M98" s="126"/>
    </row>
    <row r="99" spans="1:13" s="127" customFormat="1" ht="31.5" customHeight="1" x14ac:dyDescent="0.25">
      <c r="A99" s="252"/>
      <c r="B99" s="229"/>
      <c r="C99" s="40" t="s">
        <v>243</v>
      </c>
      <c r="D99" s="45" t="s">
        <v>244</v>
      </c>
      <c r="E99" s="229"/>
      <c r="F99" s="233"/>
      <c r="G99" s="214"/>
      <c r="H99" s="221"/>
      <c r="I99" s="199"/>
      <c r="J99" s="88"/>
      <c r="K99" s="88"/>
      <c r="L99" s="120"/>
      <c r="M99" s="126"/>
    </row>
    <row r="100" spans="1:13" s="127" customFormat="1" ht="45.9" customHeight="1" x14ac:dyDescent="0.25">
      <c r="A100" s="252"/>
      <c r="B100" s="228" t="s">
        <v>245</v>
      </c>
      <c r="C100" s="110" t="s">
        <v>246</v>
      </c>
      <c r="D100" s="114" t="s">
        <v>247</v>
      </c>
      <c r="E100" s="115" t="s">
        <v>94</v>
      </c>
      <c r="F100" s="39">
        <v>7</v>
      </c>
      <c r="G100" s="46"/>
      <c r="H100" s="47">
        <f t="shared" ref="H100:H112" si="10">F100*G100</f>
        <v>0</v>
      </c>
      <c r="I100" s="42" t="s">
        <v>248</v>
      </c>
      <c r="J100" s="88"/>
      <c r="K100" s="88"/>
      <c r="L100" s="120"/>
      <c r="M100" s="126"/>
    </row>
    <row r="101" spans="1:13" s="128" customFormat="1" ht="26.25" customHeight="1" x14ac:dyDescent="0.25">
      <c r="A101" s="252"/>
      <c r="B101" s="229"/>
      <c r="C101" s="40" t="s">
        <v>249</v>
      </c>
      <c r="D101" s="45" t="s">
        <v>250</v>
      </c>
      <c r="E101" s="115" t="s">
        <v>94</v>
      </c>
      <c r="F101" s="39">
        <v>2</v>
      </c>
      <c r="G101" s="46"/>
      <c r="H101" s="47">
        <f t="shared" si="10"/>
        <v>0</v>
      </c>
      <c r="I101" s="42" t="s">
        <v>251</v>
      </c>
      <c r="J101" s="88"/>
      <c r="K101" s="88"/>
      <c r="L101" s="120"/>
      <c r="M101" s="126"/>
    </row>
    <row r="102" spans="1:13" s="128" customFormat="1" ht="54.65" customHeight="1" x14ac:dyDescent="0.25">
      <c r="A102" s="252"/>
      <c r="B102" s="227" t="s">
        <v>252</v>
      </c>
      <c r="C102" s="236" t="s">
        <v>253</v>
      </c>
      <c r="D102" s="40" t="s">
        <v>101</v>
      </c>
      <c r="E102" s="39" t="s">
        <v>94</v>
      </c>
      <c r="F102" s="39"/>
      <c r="G102" s="46"/>
      <c r="H102" s="47">
        <f t="shared" si="10"/>
        <v>0</v>
      </c>
      <c r="I102" s="42" t="s">
        <v>254</v>
      </c>
      <c r="J102" s="88"/>
      <c r="K102" s="88"/>
      <c r="L102" s="120"/>
      <c r="M102" s="126"/>
    </row>
    <row r="103" spans="1:13" s="128" customFormat="1" ht="35.25" customHeight="1" x14ac:dyDescent="0.25">
      <c r="A103" s="252"/>
      <c r="B103" s="228"/>
      <c r="C103" s="237"/>
      <c r="D103" s="40" t="s">
        <v>255</v>
      </c>
      <c r="E103" s="39" t="s">
        <v>86</v>
      </c>
      <c r="F103" s="39"/>
      <c r="G103" s="46"/>
      <c r="H103" s="47">
        <f t="shared" si="10"/>
        <v>0</v>
      </c>
      <c r="I103" s="42" t="s">
        <v>256</v>
      </c>
      <c r="J103" s="88"/>
      <c r="K103" s="88"/>
      <c r="L103" s="120"/>
      <c r="M103" s="126"/>
    </row>
    <row r="104" spans="1:13" s="128" customFormat="1" ht="34.5" customHeight="1" x14ac:dyDescent="0.25">
      <c r="A104" s="252"/>
      <c r="B104" s="228"/>
      <c r="C104" s="40" t="s">
        <v>257</v>
      </c>
      <c r="D104" s="40" t="s">
        <v>258</v>
      </c>
      <c r="E104" s="39" t="s">
        <v>86</v>
      </c>
      <c r="F104" s="39"/>
      <c r="G104" s="46"/>
      <c r="H104" s="47">
        <f t="shared" si="10"/>
        <v>0</v>
      </c>
      <c r="I104" s="42" t="s">
        <v>256</v>
      </c>
      <c r="J104" s="88"/>
      <c r="K104" s="88"/>
      <c r="L104" s="120"/>
      <c r="M104" s="126"/>
    </row>
    <row r="105" spans="1:13" s="128" customFormat="1" ht="33" customHeight="1" x14ac:dyDescent="0.25">
      <c r="A105" s="252"/>
      <c r="B105" s="228"/>
      <c r="C105" s="150" t="s">
        <v>259</v>
      </c>
      <c r="D105" s="150" t="s">
        <v>260</v>
      </c>
      <c r="E105" s="39" t="s">
        <v>86</v>
      </c>
      <c r="F105" s="39"/>
      <c r="G105" s="46"/>
      <c r="H105" s="47">
        <f t="shared" si="10"/>
        <v>0</v>
      </c>
      <c r="I105" s="42" t="s">
        <v>256</v>
      </c>
      <c r="J105" s="88"/>
      <c r="K105" s="88"/>
      <c r="L105" s="120"/>
      <c r="M105" s="126"/>
    </row>
    <row r="106" spans="1:13" s="128" customFormat="1" ht="33" customHeight="1" x14ac:dyDescent="0.25">
      <c r="A106" s="252"/>
      <c r="B106" s="228"/>
      <c r="C106" s="150" t="s">
        <v>261</v>
      </c>
      <c r="D106" s="150" t="s">
        <v>262</v>
      </c>
      <c r="E106" s="39" t="s">
        <v>86</v>
      </c>
      <c r="F106" s="39"/>
      <c r="G106" s="46"/>
      <c r="H106" s="47">
        <f t="shared" si="10"/>
        <v>0</v>
      </c>
      <c r="I106" s="42" t="s">
        <v>263</v>
      </c>
      <c r="J106" s="88"/>
      <c r="K106" s="88"/>
      <c r="L106" s="120"/>
      <c r="M106" s="126"/>
    </row>
    <row r="107" spans="1:13" s="128" customFormat="1" ht="33" customHeight="1" x14ac:dyDescent="0.25">
      <c r="A107" s="252"/>
      <c r="B107" s="229"/>
      <c r="C107" s="150" t="s">
        <v>264</v>
      </c>
      <c r="D107" s="150" t="s">
        <v>265</v>
      </c>
      <c r="E107" s="39" t="s">
        <v>86</v>
      </c>
      <c r="F107" s="39"/>
      <c r="G107" s="46"/>
      <c r="H107" s="47">
        <f t="shared" si="10"/>
        <v>0</v>
      </c>
      <c r="I107" s="42" t="s">
        <v>263</v>
      </c>
      <c r="J107" s="88"/>
      <c r="K107" s="88"/>
      <c r="L107" s="120"/>
      <c r="M107" s="126"/>
    </row>
    <row r="108" spans="1:13" s="153" customFormat="1" ht="36.9" customHeight="1" x14ac:dyDescent="0.25">
      <c r="A108" s="252"/>
      <c r="B108" s="39" t="s">
        <v>266</v>
      </c>
      <c r="C108" s="260" t="s">
        <v>267</v>
      </c>
      <c r="D108" s="260"/>
      <c r="E108" s="39" t="s">
        <v>161</v>
      </c>
      <c r="F108" s="39"/>
      <c r="G108" s="46"/>
      <c r="H108" s="47">
        <f t="shared" si="10"/>
        <v>0</v>
      </c>
      <c r="I108" s="42" t="s">
        <v>268</v>
      </c>
      <c r="J108" s="88"/>
      <c r="K108" s="88"/>
      <c r="L108" s="151"/>
      <c r="M108" s="152"/>
    </row>
    <row r="109" spans="1:13" s="153" customFormat="1" ht="36.9" customHeight="1" x14ac:dyDescent="0.25">
      <c r="A109" s="252"/>
      <c r="B109" s="82" t="s">
        <v>269</v>
      </c>
      <c r="C109" s="270" t="s">
        <v>330</v>
      </c>
      <c r="D109" s="271"/>
      <c r="E109" s="39" t="s">
        <v>161</v>
      </c>
      <c r="F109" s="39"/>
      <c r="G109" s="46"/>
      <c r="H109" s="47">
        <f t="shared" si="10"/>
        <v>0</v>
      </c>
      <c r="I109" s="42" t="s">
        <v>268</v>
      </c>
      <c r="J109" s="88"/>
      <c r="K109" s="88"/>
      <c r="L109" s="151"/>
      <c r="M109" s="152"/>
    </row>
    <row r="110" spans="1:13" s="128" customFormat="1" ht="36.9" customHeight="1" x14ac:dyDescent="0.25">
      <c r="A110" s="252"/>
      <c r="B110" s="39" t="s">
        <v>270</v>
      </c>
      <c r="C110" s="260" t="s">
        <v>271</v>
      </c>
      <c r="D110" s="260"/>
      <c r="E110" s="39" t="s">
        <v>161</v>
      </c>
      <c r="F110" s="39"/>
      <c r="G110" s="46"/>
      <c r="H110" s="47">
        <f t="shared" si="10"/>
        <v>0</v>
      </c>
      <c r="I110" s="42" t="s">
        <v>272</v>
      </c>
      <c r="J110" s="88"/>
      <c r="K110" s="88"/>
      <c r="L110" s="120"/>
      <c r="M110" s="126"/>
    </row>
    <row r="111" spans="1:13" s="128" customFormat="1" ht="36.9" customHeight="1" x14ac:dyDescent="0.25">
      <c r="A111" s="253"/>
      <c r="B111" s="83" t="s">
        <v>273</v>
      </c>
      <c r="C111" s="272" t="s">
        <v>274</v>
      </c>
      <c r="D111" s="273"/>
      <c r="E111" s="39" t="s">
        <v>161</v>
      </c>
      <c r="F111" s="39"/>
      <c r="G111" s="46"/>
      <c r="H111" s="47">
        <f t="shared" si="10"/>
        <v>0</v>
      </c>
      <c r="I111" s="42" t="s">
        <v>272</v>
      </c>
      <c r="J111" s="88"/>
      <c r="K111" s="88"/>
      <c r="L111" s="120"/>
      <c r="M111" s="126"/>
    </row>
    <row r="112" spans="1:13" s="127" customFormat="1" ht="27" customHeight="1" x14ac:dyDescent="0.25">
      <c r="A112" s="251" t="s">
        <v>275</v>
      </c>
      <c r="B112" s="225" t="s">
        <v>228</v>
      </c>
      <c r="C112" s="145" t="s">
        <v>229</v>
      </c>
      <c r="D112" s="146" t="s">
        <v>230</v>
      </c>
      <c r="E112" s="225" t="s">
        <v>161</v>
      </c>
      <c r="F112" s="230"/>
      <c r="G112" s="212"/>
      <c r="H112" s="220">
        <f t="shared" si="10"/>
        <v>0</v>
      </c>
      <c r="I112" s="207" t="s">
        <v>322</v>
      </c>
      <c r="J112" s="88"/>
      <c r="K112" s="88"/>
      <c r="L112" s="120"/>
      <c r="M112" s="126"/>
    </row>
    <row r="113" spans="1:13" s="127" customFormat="1" ht="27" customHeight="1" x14ac:dyDescent="0.25">
      <c r="A113" s="252"/>
      <c r="B113" s="226"/>
      <c r="C113" s="147" t="s">
        <v>232</v>
      </c>
      <c r="D113" s="103" t="s">
        <v>233</v>
      </c>
      <c r="E113" s="226"/>
      <c r="F113" s="228"/>
      <c r="G113" s="213"/>
      <c r="H113" s="221"/>
      <c r="I113" s="198"/>
      <c r="J113" s="88"/>
      <c r="K113" s="88"/>
      <c r="L113" s="120"/>
      <c r="M113" s="126"/>
    </row>
    <row r="114" spans="1:13" s="127" customFormat="1" ht="101.15" customHeight="1" x14ac:dyDescent="0.25">
      <c r="A114" s="252"/>
      <c r="B114" s="226"/>
      <c r="C114" s="40" t="s">
        <v>234</v>
      </c>
      <c r="D114" s="45" t="s">
        <v>276</v>
      </c>
      <c r="E114" s="226"/>
      <c r="F114" s="229"/>
      <c r="G114" s="214"/>
      <c r="H114" s="221"/>
      <c r="I114" s="199"/>
      <c r="J114" s="88"/>
      <c r="K114" s="88"/>
      <c r="L114" s="120"/>
      <c r="M114" s="126"/>
    </row>
    <row r="115" spans="1:13" s="127" customFormat="1" ht="81.650000000000006" customHeight="1" x14ac:dyDescent="0.25">
      <c r="A115" s="252"/>
      <c r="B115" s="39" t="s">
        <v>236</v>
      </c>
      <c r="C115" s="262" t="s">
        <v>276</v>
      </c>
      <c r="D115" s="263"/>
      <c r="E115" s="148" t="s">
        <v>237</v>
      </c>
      <c r="F115" s="149"/>
      <c r="G115" s="46"/>
      <c r="H115" s="47">
        <v>0</v>
      </c>
      <c r="I115" s="42" t="s">
        <v>238</v>
      </c>
      <c r="J115" s="88"/>
      <c r="K115" s="88"/>
      <c r="L115" s="120"/>
      <c r="M115" s="126"/>
    </row>
    <row r="116" spans="1:13" s="127" customFormat="1" ht="30" customHeight="1" x14ac:dyDescent="0.25">
      <c r="A116" s="252"/>
      <c r="B116" s="227" t="s">
        <v>239</v>
      </c>
      <c r="C116" s="40" t="s">
        <v>240</v>
      </c>
      <c r="D116" s="40" t="s">
        <v>19</v>
      </c>
      <c r="E116" s="227" t="s">
        <v>86</v>
      </c>
      <c r="F116" s="231"/>
      <c r="G116" s="215"/>
      <c r="H116" s="221">
        <f t="shared" ref="H116" si="11">F116*G116</f>
        <v>0</v>
      </c>
      <c r="I116" s="197" t="s">
        <v>277</v>
      </c>
      <c r="J116" s="88"/>
      <c r="K116" s="88"/>
      <c r="L116" s="120"/>
      <c r="M116" s="126"/>
    </row>
    <row r="117" spans="1:13" s="128" customFormat="1" ht="27.65" customHeight="1" x14ac:dyDescent="0.25">
      <c r="A117" s="252"/>
      <c r="B117" s="228"/>
      <c r="C117" s="40" t="s">
        <v>129</v>
      </c>
      <c r="D117" s="112" t="s">
        <v>22</v>
      </c>
      <c r="E117" s="228"/>
      <c r="F117" s="232"/>
      <c r="G117" s="213"/>
      <c r="H117" s="221"/>
      <c r="I117" s="198"/>
      <c r="J117" s="88"/>
      <c r="K117" s="88"/>
      <c r="L117" s="120"/>
      <c r="M117" s="126"/>
    </row>
    <row r="118" spans="1:13" s="127" customFormat="1" ht="31.5" customHeight="1" x14ac:dyDescent="0.25">
      <c r="A118" s="252"/>
      <c r="B118" s="229"/>
      <c r="C118" s="40" t="s">
        <v>243</v>
      </c>
      <c r="D118" s="45" t="s">
        <v>278</v>
      </c>
      <c r="E118" s="229"/>
      <c r="F118" s="233"/>
      <c r="G118" s="214"/>
      <c r="H118" s="221"/>
      <c r="I118" s="199"/>
      <c r="J118" s="88"/>
      <c r="K118" s="88"/>
      <c r="L118" s="120"/>
      <c r="M118" s="126"/>
    </row>
    <row r="119" spans="1:13" s="127" customFormat="1" ht="26.25" customHeight="1" x14ac:dyDescent="0.25">
      <c r="A119" s="252"/>
      <c r="B119" s="228" t="s">
        <v>245</v>
      </c>
      <c r="C119" s="110" t="s">
        <v>246</v>
      </c>
      <c r="D119" s="114" t="s">
        <v>247</v>
      </c>
      <c r="E119" s="115" t="s">
        <v>94</v>
      </c>
      <c r="F119" s="39">
        <v>2</v>
      </c>
      <c r="G119" s="46"/>
      <c r="H119" s="47">
        <f t="shared" ref="H119:H135" si="12">F119*G119</f>
        <v>0</v>
      </c>
      <c r="I119" s="42" t="s">
        <v>279</v>
      </c>
      <c r="J119" s="88"/>
      <c r="K119" s="88"/>
      <c r="L119" s="120"/>
      <c r="M119" s="126"/>
    </row>
    <row r="120" spans="1:13" s="128" customFormat="1" ht="26.25" customHeight="1" x14ac:dyDescent="0.25">
      <c r="A120" s="252"/>
      <c r="B120" s="229"/>
      <c r="C120" s="40" t="s">
        <v>249</v>
      </c>
      <c r="D120" s="45" t="s">
        <v>250</v>
      </c>
      <c r="E120" s="115" t="s">
        <v>94</v>
      </c>
      <c r="F120" s="39">
        <v>2</v>
      </c>
      <c r="G120" s="46"/>
      <c r="H120" s="47">
        <f t="shared" si="12"/>
        <v>0</v>
      </c>
      <c r="I120" s="42" t="s">
        <v>251</v>
      </c>
      <c r="J120" s="88"/>
      <c r="K120" s="88"/>
      <c r="L120" s="120"/>
      <c r="M120" s="126"/>
    </row>
    <row r="121" spans="1:13" s="128" customFormat="1" ht="47.4" customHeight="1" x14ac:dyDescent="0.25">
      <c r="A121" s="252"/>
      <c r="B121" s="226" t="s">
        <v>252</v>
      </c>
      <c r="C121" s="236" t="s">
        <v>253</v>
      </c>
      <c r="D121" s="40" t="s">
        <v>101</v>
      </c>
      <c r="E121" s="39" t="s">
        <v>94</v>
      </c>
      <c r="F121" s="39"/>
      <c r="G121" s="46"/>
      <c r="H121" s="47">
        <f t="shared" si="12"/>
        <v>0</v>
      </c>
      <c r="I121" s="42" t="s">
        <v>263</v>
      </c>
      <c r="J121" s="88"/>
      <c r="K121" s="88"/>
      <c r="L121" s="120"/>
      <c r="M121" s="126"/>
    </row>
    <row r="122" spans="1:13" s="128" customFormat="1" ht="35.25" customHeight="1" x14ac:dyDescent="0.25">
      <c r="A122" s="252"/>
      <c r="B122" s="226"/>
      <c r="C122" s="237"/>
      <c r="D122" s="40" t="s">
        <v>255</v>
      </c>
      <c r="E122" s="39" t="s">
        <v>86</v>
      </c>
      <c r="F122" s="39"/>
      <c r="G122" s="46"/>
      <c r="H122" s="47">
        <f t="shared" si="12"/>
        <v>0</v>
      </c>
      <c r="I122" s="42" t="s">
        <v>256</v>
      </c>
      <c r="J122" s="88"/>
      <c r="K122" s="88"/>
      <c r="L122" s="120"/>
      <c r="M122" s="126"/>
    </row>
    <row r="123" spans="1:13" s="128" customFormat="1" ht="32.15" customHeight="1" x14ac:dyDescent="0.25">
      <c r="A123" s="252"/>
      <c r="B123" s="226"/>
      <c r="C123" s="154" t="s">
        <v>280</v>
      </c>
      <c r="D123" s="40" t="s">
        <v>281</v>
      </c>
      <c r="E123" s="39" t="s">
        <v>86</v>
      </c>
      <c r="F123" s="39"/>
      <c r="G123" s="46"/>
      <c r="H123" s="47">
        <f t="shared" si="12"/>
        <v>0</v>
      </c>
      <c r="I123" s="42" t="s">
        <v>263</v>
      </c>
      <c r="J123" s="88"/>
      <c r="K123" s="88"/>
      <c r="L123" s="120"/>
      <c r="M123" s="126"/>
    </row>
    <row r="124" spans="1:13" s="128" customFormat="1" ht="34.5" customHeight="1" x14ac:dyDescent="0.25">
      <c r="A124" s="252"/>
      <c r="B124" s="226"/>
      <c r="C124" s="40" t="s">
        <v>257</v>
      </c>
      <c r="D124" s="40" t="s">
        <v>282</v>
      </c>
      <c r="E124" s="39" t="s">
        <v>86</v>
      </c>
      <c r="F124" s="39"/>
      <c r="G124" s="46"/>
      <c r="H124" s="47">
        <f t="shared" si="12"/>
        <v>0</v>
      </c>
      <c r="I124" s="42" t="s">
        <v>256</v>
      </c>
      <c r="J124" s="88"/>
      <c r="K124" s="88"/>
      <c r="L124" s="120"/>
      <c r="M124" s="126"/>
    </row>
    <row r="125" spans="1:13" s="128" customFormat="1" ht="33" customHeight="1" x14ac:dyDescent="0.25">
      <c r="A125" s="252"/>
      <c r="B125" s="227"/>
      <c r="C125" s="150" t="s">
        <v>259</v>
      </c>
      <c r="D125" s="150" t="s">
        <v>282</v>
      </c>
      <c r="E125" s="39" t="s">
        <v>86</v>
      </c>
      <c r="F125" s="39"/>
      <c r="G125" s="46"/>
      <c r="H125" s="47">
        <f t="shared" si="12"/>
        <v>0</v>
      </c>
      <c r="I125" s="42" t="s">
        <v>256</v>
      </c>
      <c r="J125" s="88"/>
      <c r="K125" s="88"/>
      <c r="L125" s="120"/>
      <c r="M125" s="126"/>
    </row>
    <row r="126" spans="1:13" s="128" customFormat="1" ht="63" customHeight="1" x14ac:dyDescent="0.25">
      <c r="A126" s="252"/>
      <c r="B126" s="227" t="s">
        <v>127</v>
      </c>
      <c r="C126" s="238" t="s">
        <v>283</v>
      </c>
      <c r="D126" s="45" t="s">
        <v>284</v>
      </c>
      <c r="E126" s="39" t="s">
        <v>86</v>
      </c>
      <c r="F126" s="39"/>
      <c r="G126" s="46"/>
      <c r="H126" s="47">
        <f t="shared" si="12"/>
        <v>0</v>
      </c>
      <c r="I126" s="197" t="s">
        <v>285</v>
      </c>
      <c r="J126" s="88"/>
      <c r="K126" s="88"/>
      <c r="L126" s="120"/>
      <c r="M126" s="126"/>
    </row>
    <row r="127" spans="1:13" s="128" customFormat="1" ht="24.75" customHeight="1" x14ac:dyDescent="0.25">
      <c r="A127" s="252"/>
      <c r="B127" s="228"/>
      <c r="C127" s="239"/>
      <c r="D127" s="45" t="s">
        <v>63</v>
      </c>
      <c r="E127" s="39" t="s">
        <v>86</v>
      </c>
      <c r="F127" s="39"/>
      <c r="G127" s="46"/>
      <c r="H127" s="47">
        <f t="shared" si="12"/>
        <v>0</v>
      </c>
      <c r="I127" s="198"/>
      <c r="J127" s="88"/>
      <c r="K127" s="88"/>
      <c r="L127" s="120"/>
      <c r="M127" s="126"/>
    </row>
    <row r="128" spans="1:13" s="128" customFormat="1" ht="27" customHeight="1" x14ac:dyDescent="0.25">
      <c r="A128" s="252"/>
      <c r="B128" s="229"/>
      <c r="C128" s="43" t="s">
        <v>286</v>
      </c>
      <c r="D128" s="40" t="s">
        <v>64</v>
      </c>
      <c r="E128" s="39" t="s">
        <v>86</v>
      </c>
      <c r="F128" s="39"/>
      <c r="G128" s="46"/>
      <c r="H128" s="47">
        <f t="shared" si="12"/>
        <v>0</v>
      </c>
      <c r="I128" s="198"/>
      <c r="J128" s="88"/>
      <c r="K128" s="88"/>
      <c r="L128" s="120"/>
      <c r="M128" s="126"/>
    </row>
    <row r="129" spans="1:13" s="128" customFormat="1" ht="97.5" customHeight="1" x14ac:dyDescent="0.25">
      <c r="A129" s="252"/>
      <c r="B129" s="227" t="s">
        <v>136</v>
      </c>
      <c r="C129" s="238" t="s">
        <v>283</v>
      </c>
      <c r="D129" s="119" t="s">
        <v>369</v>
      </c>
      <c r="E129" s="39" t="s">
        <v>86</v>
      </c>
      <c r="F129" s="39"/>
      <c r="G129" s="46"/>
      <c r="H129" s="47">
        <f t="shared" ref="H129:H131" si="13">F129*G129</f>
        <v>0</v>
      </c>
      <c r="I129" s="197" t="s">
        <v>287</v>
      </c>
      <c r="J129" s="88"/>
      <c r="K129" s="88"/>
      <c r="L129" s="120"/>
      <c r="M129" s="126"/>
    </row>
    <row r="130" spans="1:13" s="128" customFormat="1" ht="96.9" customHeight="1" x14ac:dyDescent="0.25">
      <c r="A130" s="252"/>
      <c r="B130" s="228"/>
      <c r="C130" s="239"/>
      <c r="D130" s="119" t="s">
        <v>370</v>
      </c>
      <c r="E130" s="39" t="s">
        <v>86</v>
      </c>
      <c r="F130" s="39"/>
      <c r="G130" s="46"/>
      <c r="H130" s="47">
        <f t="shared" si="13"/>
        <v>0</v>
      </c>
      <c r="I130" s="198"/>
      <c r="J130" s="88"/>
      <c r="K130" s="88"/>
      <c r="L130" s="120"/>
      <c r="M130" s="126"/>
    </row>
    <row r="131" spans="1:13" s="128" customFormat="1" ht="93.9" customHeight="1" x14ac:dyDescent="0.25">
      <c r="A131" s="252"/>
      <c r="B131" s="229"/>
      <c r="C131" s="43" t="s">
        <v>286</v>
      </c>
      <c r="D131" s="43" t="s">
        <v>371</v>
      </c>
      <c r="E131" s="39" t="s">
        <v>86</v>
      </c>
      <c r="F131" s="39"/>
      <c r="G131" s="46"/>
      <c r="H131" s="47">
        <f t="shared" si="13"/>
        <v>0</v>
      </c>
      <c r="I131" s="198"/>
      <c r="J131" s="88"/>
      <c r="K131" s="88"/>
      <c r="L131" s="120"/>
      <c r="M131" s="126"/>
    </row>
    <row r="132" spans="1:13" s="128" customFormat="1" ht="86.4" customHeight="1" x14ac:dyDescent="0.25">
      <c r="A132" s="252"/>
      <c r="B132" s="83" t="s">
        <v>138</v>
      </c>
      <c r="C132" s="258" t="s">
        <v>288</v>
      </c>
      <c r="D132" s="259"/>
      <c r="E132" s="84" t="s">
        <v>86</v>
      </c>
      <c r="F132" s="84"/>
      <c r="G132" s="155"/>
      <c r="H132" s="47">
        <f t="shared" si="12"/>
        <v>0</v>
      </c>
      <c r="I132" s="75" t="s">
        <v>372</v>
      </c>
      <c r="J132" s="156"/>
      <c r="K132" s="88"/>
      <c r="L132" s="120"/>
      <c r="M132" s="126"/>
    </row>
    <row r="133" spans="1:13" s="153" customFormat="1" ht="51" customHeight="1" x14ac:dyDescent="0.25">
      <c r="A133" s="252"/>
      <c r="B133" s="39" t="s">
        <v>289</v>
      </c>
      <c r="C133" s="260" t="s">
        <v>290</v>
      </c>
      <c r="D133" s="260"/>
      <c r="E133" s="39" t="s">
        <v>161</v>
      </c>
      <c r="F133" s="39"/>
      <c r="G133" s="46"/>
      <c r="H133" s="47">
        <f t="shared" si="12"/>
        <v>0</v>
      </c>
      <c r="I133" s="42" t="s">
        <v>291</v>
      </c>
      <c r="J133" s="88"/>
      <c r="K133" s="88"/>
      <c r="L133" s="151"/>
      <c r="M133" s="152"/>
    </row>
    <row r="134" spans="1:13" s="128" customFormat="1" ht="63" customHeight="1" x14ac:dyDescent="0.25">
      <c r="A134" s="253"/>
      <c r="B134" s="134" t="s">
        <v>292</v>
      </c>
      <c r="C134" s="261" t="s">
        <v>293</v>
      </c>
      <c r="D134" s="261"/>
      <c r="E134" s="134" t="s">
        <v>294</v>
      </c>
      <c r="F134" s="134"/>
      <c r="G134" s="157"/>
      <c r="H134" s="158">
        <f t="shared" si="12"/>
        <v>0</v>
      </c>
      <c r="I134" s="159" t="s">
        <v>295</v>
      </c>
      <c r="J134" s="88"/>
      <c r="K134" s="88"/>
      <c r="L134" s="120"/>
      <c r="M134" s="126"/>
    </row>
    <row r="135" spans="1:13" s="127" customFormat="1" ht="27" customHeight="1" x14ac:dyDescent="0.25">
      <c r="A135" s="251" t="s">
        <v>296</v>
      </c>
      <c r="B135" s="225" t="s">
        <v>228</v>
      </c>
      <c r="C135" s="145" t="s">
        <v>229</v>
      </c>
      <c r="D135" s="160" t="s">
        <v>297</v>
      </c>
      <c r="E135" s="225" t="s">
        <v>161</v>
      </c>
      <c r="F135" s="230"/>
      <c r="G135" s="212"/>
      <c r="H135" s="220">
        <f t="shared" si="12"/>
        <v>0</v>
      </c>
      <c r="I135" s="207" t="s">
        <v>298</v>
      </c>
      <c r="J135" s="88"/>
      <c r="K135" s="88"/>
      <c r="L135" s="120"/>
      <c r="M135" s="126"/>
    </row>
    <row r="136" spans="1:13" s="127" customFormat="1" ht="27" customHeight="1" x14ac:dyDescent="0.25">
      <c r="A136" s="252"/>
      <c r="B136" s="226"/>
      <c r="C136" s="147" t="s">
        <v>232</v>
      </c>
      <c r="D136" s="161" t="s">
        <v>299</v>
      </c>
      <c r="E136" s="226"/>
      <c r="F136" s="228"/>
      <c r="G136" s="213"/>
      <c r="H136" s="221"/>
      <c r="I136" s="198"/>
      <c r="J136" s="88"/>
      <c r="K136" s="88"/>
      <c r="L136" s="120"/>
      <c r="M136" s="126"/>
    </row>
    <row r="137" spans="1:13" s="127" customFormat="1" ht="27" customHeight="1" x14ac:dyDescent="0.25">
      <c r="A137" s="252"/>
      <c r="B137" s="226"/>
      <c r="C137" s="147" t="s">
        <v>259</v>
      </c>
      <c r="D137" s="161" t="s">
        <v>23</v>
      </c>
      <c r="E137" s="226"/>
      <c r="F137" s="228"/>
      <c r="G137" s="213"/>
      <c r="H137" s="221"/>
      <c r="I137" s="198"/>
      <c r="J137" s="88"/>
      <c r="K137" s="88"/>
      <c r="L137" s="120"/>
      <c r="M137" s="126"/>
    </row>
    <row r="138" spans="1:13" s="127" customFormat="1" ht="83.25" customHeight="1" x14ac:dyDescent="0.25">
      <c r="A138" s="252"/>
      <c r="B138" s="226"/>
      <c r="C138" s="40" t="s">
        <v>234</v>
      </c>
      <c r="D138" s="45" t="s">
        <v>300</v>
      </c>
      <c r="E138" s="226"/>
      <c r="F138" s="229"/>
      <c r="G138" s="214"/>
      <c r="H138" s="221"/>
      <c r="I138" s="199"/>
      <c r="J138" s="88"/>
      <c r="K138" s="88"/>
      <c r="L138" s="120"/>
      <c r="M138" s="126"/>
    </row>
    <row r="139" spans="1:13" s="127" customFormat="1" ht="66" customHeight="1" x14ac:dyDescent="0.25">
      <c r="A139" s="252"/>
      <c r="B139" s="39" t="s">
        <v>236</v>
      </c>
      <c r="C139" s="262" t="s">
        <v>301</v>
      </c>
      <c r="D139" s="263"/>
      <c r="E139" s="148" t="s">
        <v>237</v>
      </c>
      <c r="F139" s="149"/>
      <c r="G139" s="46"/>
      <c r="H139" s="47">
        <v>0</v>
      </c>
      <c r="I139" s="42" t="s">
        <v>302</v>
      </c>
      <c r="J139" s="88"/>
      <c r="K139" s="88"/>
      <c r="L139" s="120"/>
      <c r="M139" s="126"/>
    </row>
    <row r="140" spans="1:13" s="127" customFormat="1" ht="30" customHeight="1" x14ac:dyDescent="0.25">
      <c r="A140" s="252"/>
      <c r="B140" s="227" t="s">
        <v>239</v>
      </c>
      <c r="C140" s="40" t="s">
        <v>240</v>
      </c>
      <c r="D140" s="40" t="s">
        <v>19</v>
      </c>
      <c r="E140" s="227" t="s">
        <v>86</v>
      </c>
      <c r="F140" s="231"/>
      <c r="G140" s="215"/>
      <c r="H140" s="221">
        <f t="shared" ref="H140" si="14">F140*G140</f>
        <v>0</v>
      </c>
      <c r="I140" s="197" t="s">
        <v>277</v>
      </c>
      <c r="J140" s="88"/>
      <c r="K140" s="88"/>
      <c r="L140" s="120"/>
      <c r="M140" s="126"/>
    </row>
    <row r="141" spans="1:13" s="128" customFormat="1" ht="27.65" customHeight="1" x14ac:dyDescent="0.25">
      <c r="A141" s="252"/>
      <c r="B141" s="228"/>
      <c r="C141" s="40" t="s">
        <v>129</v>
      </c>
      <c r="D141" s="112" t="s">
        <v>24</v>
      </c>
      <c r="E141" s="228"/>
      <c r="F141" s="232"/>
      <c r="G141" s="213"/>
      <c r="H141" s="221"/>
      <c r="I141" s="198"/>
      <c r="J141" s="88"/>
      <c r="K141" s="88"/>
      <c r="L141" s="120"/>
      <c r="M141" s="126"/>
    </row>
    <row r="142" spans="1:13" s="127" customFormat="1" ht="34.5" customHeight="1" x14ac:dyDescent="0.25">
      <c r="A142" s="252"/>
      <c r="B142" s="229"/>
      <c r="C142" s="40" t="s">
        <v>243</v>
      </c>
      <c r="D142" s="45" t="s">
        <v>303</v>
      </c>
      <c r="E142" s="229"/>
      <c r="F142" s="233"/>
      <c r="G142" s="214"/>
      <c r="H142" s="221"/>
      <c r="I142" s="199"/>
      <c r="J142" s="88"/>
      <c r="K142" s="88"/>
      <c r="L142" s="120"/>
      <c r="M142" s="126"/>
    </row>
    <row r="143" spans="1:13" s="127" customFormat="1" ht="39" customHeight="1" x14ac:dyDescent="0.25">
      <c r="A143" s="252"/>
      <c r="B143" s="228" t="s">
        <v>245</v>
      </c>
      <c r="C143" s="110" t="s">
        <v>246</v>
      </c>
      <c r="D143" s="114" t="s">
        <v>247</v>
      </c>
      <c r="E143" s="115" t="s">
        <v>94</v>
      </c>
      <c r="F143" s="39">
        <v>3</v>
      </c>
      <c r="G143" s="46"/>
      <c r="H143" s="47">
        <f t="shared" ref="H143:H158" si="15">F143*G143</f>
        <v>0</v>
      </c>
      <c r="I143" s="42" t="s">
        <v>304</v>
      </c>
      <c r="J143" s="88"/>
      <c r="K143" s="88"/>
      <c r="L143" s="120"/>
      <c r="M143" s="126"/>
    </row>
    <row r="144" spans="1:13" s="128" customFormat="1" ht="40.5" customHeight="1" x14ac:dyDescent="0.25">
      <c r="A144" s="252"/>
      <c r="B144" s="229"/>
      <c r="C144" s="40" t="s">
        <v>249</v>
      </c>
      <c r="D144" s="45" t="s">
        <v>250</v>
      </c>
      <c r="E144" s="115" t="s">
        <v>94</v>
      </c>
      <c r="F144" s="39">
        <v>2</v>
      </c>
      <c r="G144" s="46"/>
      <c r="H144" s="47">
        <f t="shared" si="15"/>
        <v>0</v>
      </c>
      <c r="I144" s="42" t="s">
        <v>251</v>
      </c>
      <c r="J144" s="88"/>
      <c r="K144" s="88"/>
      <c r="L144" s="120"/>
      <c r="M144" s="126"/>
    </row>
    <row r="145" spans="1:13" s="128" customFormat="1" ht="47.15" customHeight="1" x14ac:dyDescent="0.25">
      <c r="A145" s="252"/>
      <c r="B145" s="226" t="s">
        <v>252</v>
      </c>
      <c r="C145" s="236" t="s">
        <v>253</v>
      </c>
      <c r="D145" s="40" t="s">
        <v>101</v>
      </c>
      <c r="E145" s="39" t="s">
        <v>305</v>
      </c>
      <c r="F145" s="39"/>
      <c r="G145" s="46"/>
      <c r="H145" s="47">
        <f t="shared" si="15"/>
        <v>0</v>
      </c>
      <c r="I145" s="42" t="s">
        <v>263</v>
      </c>
      <c r="J145" s="88"/>
      <c r="K145" s="88"/>
      <c r="L145" s="120"/>
      <c r="M145" s="126"/>
    </row>
    <row r="146" spans="1:13" s="128" customFormat="1" ht="32.15" customHeight="1" x14ac:dyDescent="0.25">
      <c r="A146" s="252"/>
      <c r="B146" s="226"/>
      <c r="C146" s="237"/>
      <c r="D146" s="40" t="s">
        <v>255</v>
      </c>
      <c r="E146" s="39" t="s">
        <v>86</v>
      </c>
      <c r="F146" s="39"/>
      <c r="G146" s="46"/>
      <c r="H146" s="47">
        <f t="shared" si="15"/>
        <v>0</v>
      </c>
      <c r="I146" s="42" t="s">
        <v>256</v>
      </c>
      <c r="J146" s="88"/>
      <c r="K146" s="88"/>
      <c r="L146" s="120"/>
      <c r="M146" s="126"/>
    </row>
    <row r="147" spans="1:13" s="128" customFormat="1" ht="32.15" customHeight="1" x14ac:dyDescent="0.25">
      <c r="A147" s="252"/>
      <c r="B147" s="226"/>
      <c r="C147" s="154" t="s">
        <v>280</v>
      </c>
      <c r="D147" s="40" t="s">
        <v>281</v>
      </c>
      <c r="E147" s="39" t="s">
        <v>86</v>
      </c>
      <c r="F147" s="39"/>
      <c r="G147" s="46"/>
      <c r="H147" s="47">
        <f t="shared" si="15"/>
        <v>0</v>
      </c>
      <c r="I147" s="42" t="s">
        <v>263</v>
      </c>
      <c r="J147" s="88"/>
      <c r="K147" s="88"/>
      <c r="L147" s="120"/>
      <c r="M147" s="126"/>
    </row>
    <row r="148" spans="1:13" s="128" customFormat="1" ht="34.5" customHeight="1" x14ac:dyDescent="0.25">
      <c r="A148" s="252"/>
      <c r="B148" s="226"/>
      <c r="C148" s="40" t="s">
        <v>257</v>
      </c>
      <c r="D148" s="40" t="s">
        <v>282</v>
      </c>
      <c r="E148" s="39" t="s">
        <v>86</v>
      </c>
      <c r="F148" s="39"/>
      <c r="G148" s="46"/>
      <c r="H148" s="47">
        <f t="shared" si="15"/>
        <v>0</v>
      </c>
      <c r="I148" s="42" t="s">
        <v>256</v>
      </c>
      <c r="J148" s="88"/>
      <c r="K148" s="88"/>
      <c r="L148" s="120"/>
      <c r="M148" s="126"/>
    </row>
    <row r="149" spans="1:13" s="128" customFormat="1" ht="33" customHeight="1" x14ac:dyDescent="0.25">
      <c r="A149" s="252"/>
      <c r="B149" s="227"/>
      <c r="C149" s="150" t="s">
        <v>259</v>
      </c>
      <c r="D149" s="150" t="s">
        <v>282</v>
      </c>
      <c r="E149" s="39" t="s">
        <v>86</v>
      </c>
      <c r="F149" s="39"/>
      <c r="G149" s="46"/>
      <c r="H149" s="47">
        <f t="shared" si="15"/>
        <v>0</v>
      </c>
      <c r="I149" s="42" t="s">
        <v>256</v>
      </c>
      <c r="J149" s="88"/>
      <c r="K149" s="88"/>
      <c r="L149" s="120"/>
      <c r="M149" s="126"/>
    </row>
    <row r="150" spans="1:13" s="128" customFormat="1" ht="63" customHeight="1" x14ac:dyDescent="0.25">
      <c r="A150" s="252"/>
      <c r="B150" s="227" t="s">
        <v>127</v>
      </c>
      <c r="C150" s="238" t="s">
        <v>283</v>
      </c>
      <c r="D150" s="45" t="s">
        <v>306</v>
      </c>
      <c r="E150" s="39" t="s">
        <v>86</v>
      </c>
      <c r="F150" s="39"/>
      <c r="G150" s="46"/>
      <c r="H150" s="47">
        <f t="shared" si="15"/>
        <v>0</v>
      </c>
      <c r="I150" s="197" t="s">
        <v>285</v>
      </c>
      <c r="J150" s="88"/>
      <c r="K150" s="88"/>
      <c r="L150" s="120"/>
      <c r="M150" s="126"/>
    </row>
    <row r="151" spans="1:13" s="128" customFormat="1" ht="44.4" customHeight="1" x14ac:dyDescent="0.25">
      <c r="A151" s="252"/>
      <c r="B151" s="228"/>
      <c r="C151" s="239"/>
      <c r="D151" s="45" t="s">
        <v>63</v>
      </c>
      <c r="E151" s="39" t="s">
        <v>86</v>
      </c>
      <c r="F151" s="39"/>
      <c r="G151" s="46"/>
      <c r="H151" s="47">
        <f t="shared" si="15"/>
        <v>0</v>
      </c>
      <c r="I151" s="198"/>
      <c r="J151" s="88"/>
      <c r="K151" s="88"/>
      <c r="L151" s="120"/>
      <c r="M151" s="126"/>
    </row>
    <row r="152" spans="1:13" s="128" customFormat="1" ht="47.4" customHeight="1" x14ac:dyDescent="0.25">
      <c r="A152" s="252"/>
      <c r="B152" s="229"/>
      <c r="C152" s="43" t="s">
        <v>286</v>
      </c>
      <c r="D152" s="40" t="s">
        <v>64</v>
      </c>
      <c r="E152" s="39" t="s">
        <v>86</v>
      </c>
      <c r="F152" s="39"/>
      <c r="G152" s="46"/>
      <c r="H152" s="47">
        <f t="shared" si="15"/>
        <v>0</v>
      </c>
      <c r="I152" s="198"/>
      <c r="J152" s="88"/>
      <c r="K152" s="88"/>
      <c r="L152" s="120"/>
      <c r="M152" s="126"/>
    </row>
    <row r="153" spans="1:13" s="128" customFormat="1" ht="107.4" customHeight="1" x14ac:dyDescent="0.25">
      <c r="A153" s="252"/>
      <c r="B153" s="227" t="s">
        <v>136</v>
      </c>
      <c r="C153" s="238" t="s">
        <v>283</v>
      </c>
      <c r="D153" s="45" t="s">
        <v>327</v>
      </c>
      <c r="E153" s="39" t="s">
        <v>86</v>
      </c>
      <c r="F153" s="39"/>
      <c r="G153" s="46"/>
      <c r="H153" s="47">
        <f t="shared" si="15"/>
        <v>0</v>
      </c>
      <c r="I153" s="197" t="s">
        <v>307</v>
      </c>
      <c r="J153" s="88"/>
      <c r="K153" s="88"/>
      <c r="L153" s="120"/>
      <c r="M153" s="126"/>
    </row>
    <row r="154" spans="1:13" s="128" customFormat="1" ht="96.9" customHeight="1" x14ac:dyDescent="0.25">
      <c r="A154" s="252"/>
      <c r="B154" s="228"/>
      <c r="C154" s="239"/>
      <c r="D154" s="45" t="s">
        <v>328</v>
      </c>
      <c r="E154" s="39" t="s">
        <v>86</v>
      </c>
      <c r="F154" s="39"/>
      <c r="G154" s="46"/>
      <c r="H154" s="47">
        <f t="shared" si="15"/>
        <v>0</v>
      </c>
      <c r="I154" s="198"/>
      <c r="J154" s="88"/>
      <c r="K154" s="88"/>
      <c r="L154" s="120"/>
      <c r="M154" s="126"/>
    </row>
    <row r="155" spans="1:13" s="128" customFormat="1" ht="106.5" customHeight="1" x14ac:dyDescent="0.25">
      <c r="A155" s="252"/>
      <c r="B155" s="229"/>
      <c r="C155" s="43" t="s">
        <v>286</v>
      </c>
      <c r="D155" s="40" t="s">
        <v>329</v>
      </c>
      <c r="E155" s="39" t="s">
        <v>86</v>
      </c>
      <c r="F155" s="39"/>
      <c r="G155" s="46"/>
      <c r="H155" s="47">
        <f t="shared" si="15"/>
        <v>0</v>
      </c>
      <c r="I155" s="198"/>
      <c r="J155" s="88"/>
      <c r="K155" s="88"/>
      <c r="L155" s="120"/>
      <c r="M155" s="126"/>
    </row>
    <row r="156" spans="1:13" s="128" customFormat="1" ht="84" customHeight="1" x14ac:dyDescent="0.25">
      <c r="A156" s="252"/>
      <c r="B156" s="83" t="s">
        <v>138</v>
      </c>
      <c r="C156" s="258" t="s">
        <v>308</v>
      </c>
      <c r="D156" s="259"/>
      <c r="E156" s="84" t="s">
        <v>86</v>
      </c>
      <c r="F156" s="84"/>
      <c r="G156" s="155"/>
      <c r="H156" s="162">
        <f t="shared" si="15"/>
        <v>0</v>
      </c>
      <c r="I156" s="163" t="s">
        <v>373</v>
      </c>
      <c r="J156" s="156"/>
      <c r="K156" s="88"/>
      <c r="L156" s="120"/>
      <c r="M156" s="126"/>
    </row>
    <row r="157" spans="1:13" s="153" customFormat="1" ht="43.5" customHeight="1" x14ac:dyDescent="0.25">
      <c r="A157" s="252"/>
      <c r="B157" s="39" t="s">
        <v>289</v>
      </c>
      <c r="C157" s="260" t="s">
        <v>290</v>
      </c>
      <c r="D157" s="260"/>
      <c r="E157" s="39" t="s">
        <v>161</v>
      </c>
      <c r="F157" s="39"/>
      <c r="G157" s="46"/>
      <c r="H157" s="47">
        <f t="shared" si="15"/>
        <v>0</v>
      </c>
      <c r="I157" s="42" t="s">
        <v>309</v>
      </c>
      <c r="J157" s="88"/>
      <c r="K157" s="88"/>
      <c r="L157" s="151"/>
      <c r="M157" s="152"/>
    </row>
    <row r="158" spans="1:13" s="128" customFormat="1" ht="64.5" customHeight="1" x14ac:dyDescent="0.25">
      <c r="A158" s="253"/>
      <c r="B158" s="134" t="s">
        <v>292</v>
      </c>
      <c r="C158" s="264" t="s">
        <v>310</v>
      </c>
      <c r="D158" s="264"/>
      <c r="E158" s="134" t="s">
        <v>294</v>
      </c>
      <c r="F158" s="134"/>
      <c r="G158" s="157"/>
      <c r="H158" s="158">
        <f t="shared" si="15"/>
        <v>0</v>
      </c>
      <c r="I158" s="159" t="s">
        <v>295</v>
      </c>
      <c r="J158" s="88"/>
      <c r="K158" s="88"/>
      <c r="L158" s="120"/>
      <c r="M158" s="126"/>
    </row>
    <row r="159" spans="1:13" s="167" customFormat="1" ht="66" customHeight="1" x14ac:dyDescent="0.25">
      <c r="A159" s="254" t="s">
        <v>311</v>
      </c>
      <c r="B159" s="164" t="s">
        <v>312</v>
      </c>
      <c r="C159" s="265" t="s">
        <v>313</v>
      </c>
      <c r="D159" s="265"/>
      <c r="E159" s="84" t="s">
        <v>86</v>
      </c>
      <c r="F159" s="165"/>
      <c r="G159" s="164"/>
      <c r="H159" s="121" t="s">
        <v>18</v>
      </c>
      <c r="I159" s="166" t="s">
        <v>314</v>
      </c>
      <c r="J159" s="88"/>
      <c r="K159" s="100"/>
      <c r="L159" s="100"/>
      <c r="M159" s="92"/>
    </row>
    <row r="160" spans="1:13" s="167" customFormat="1" ht="69.650000000000006" customHeight="1" x14ac:dyDescent="0.25">
      <c r="A160" s="255"/>
      <c r="B160" s="168" t="s">
        <v>315</v>
      </c>
      <c r="C160" s="261" t="s">
        <v>316</v>
      </c>
      <c r="D160" s="261"/>
      <c r="E160" s="134" t="s">
        <v>86</v>
      </c>
      <c r="F160" s="134"/>
      <c r="G160" s="168"/>
      <c r="H160" s="158" t="s">
        <v>18</v>
      </c>
      <c r="I160" s="159" t="s">
        <v>314</v>
      </c>
      <c r="J160" s="88"/>
      <c r="K160" s="100"/>
      <c r="L160" s="100"/>
      <c r="M160" s="92"/>
    </row>
    <row r="161" spans="1:10" ht="42.9" customHeight="1" x14ac:dyDescent="0.25">
      <c r="A161" s="241" t="s">
        <v>317</v>
      </c>
      <c r="B161" s="242"/>
      <c r="C161" s="242"/>
      <c r="D161" s="242"/>
      <c r="E161" s="242"/>
      <c r="F161" s="242"/>
      <c r="G161" s="243"/>
      <c r="H161" s="169">
        <f>SUM(H3:H158)</f>
        <v>0</v>
      </c>
      <c r="I161" s="170"/>
      <c r="J161" s="171"/>
    </row>
    <row r="162" spans="1:10" ht="42.9" customHeight="1" x14ac:dyDescent="0.25">
      <c r="A162" s="244" t="s">
        <v>318</v>
      </c>
      <c r="B162" s="245"/>
      <c r="C162" s="245"/>
      <c r="D162" s="245"/>
      <c r="E162" s="245" t="s">
        <v>18</v>
      </c>
      <c r="F162" s="245" t="s">
        <v>18</v>
      </c>
      <c r="G162" s="246" t="s">
        <v>18</v>
      </c>
      <c r="H162" s="172">
        <f>H161*1.06</f>
        <v>0</v>
      </c>
      <c r="I162" s="173"/>
      <c r="J162" s="171"/>
    </row>
    <row r="163" spans="1:10" ht="42.9" customHeight="1" x14ac:dyDescent="0.25">
      <c r="A163" s="244" t="s">
        <v>319</v>
      </c>
      <c r="B163" s="245"/>
      <c r="C163" s="245"/>
      <c r="D163" s="245"/>
      <c r="E163" s="245"/>
      <c r="F163" s="245"/>
      <c r="G163" s="246"/>
      <c r="H163" s="172">
        <f>H162-H161</f>
        <v>0</v>
      </c>
      <c r="I163" s="173"/>
      <c r="J163" s="171"/>
    </row>
    <row r="164" spans="1:10" ht="113.15" customHeight="1" x14ac:dyDescent="0.25">
      <c r="A164" s="247" t="s">
        <v>320</v>
      </c>
      <c r="B164" s="247"/>
      <c r="C164" s="247"/>
      <c r="D164" s="247"/>
      <c r="E164" s="247"/>
      <c r="F164" s="247"/>
      <c r="G164" s="247"/>
      <c r="H164" s="247"/>
      <c r="I164" s="247"/>
      <c r="J164" s="171"/>
    </row>
  </sheetData>
  <autoFilter ref="A2:I164"/>
  <mergeCells count="164">
    <mergeCell ref="A1:I1"/>
    <mergeCell ref="B2:D2"/>
    <mergeCell ref="C6:D6"/>
    <mergeCell ref="C26:D26"/>
    <mergeCell ref="C27:D27"/>
    <mergeCell ref="C28:D28"/>
    <mergeCell ref="C29:D29"/>
    <mergeCell ref="C30:D30"/>
    <mergeCell ref="C40:D40"/>
    <mergeCell ref="E3:E5"/>
    <mergeCell ref="E7:E9"/>
    <mergeCell ref="G3:G5"/>
    <mergeCell ref="G7:G9"/>
    <mergeCell ref="I3:I5"/>
    <mergeCell ref="I7:I9"/>
    <mergeCell ref="B36:B39"/>
    <mergeCell ref="B29:B31"/>
    <mergeCell ref="C31:D31"/>
    <mergeCell ref="C41:D41"/>
    <mergeCell ref="C42:D42"/>
    <mergeCell ref="C43:D43"/>
    <mergeCell ref="C44:D44"/>
    <mergeCell ref="C45:D45"/>
    <mergeCell ref="C46:D46"/>
    <mergeCell ref="C50:D50"/>
    <mergeCell ref="C67:D67"/>
    <mergeCell ref="C68:D68"/>
    <mergeCell ref="C72:D72"/>
    <mergeCell ref="C73:D73"/>
    <mergeCell ref="C74:D74"/>
    <mergeCell ref="C75:D75"/>
    <mergeCell ref="C76:D76"/>
    <mergeCell ref="C86:D86"/>
    <mergeCell ref="C87:D87"/>
    <mergeCell ref="C88:D88"/>
    <mergeCell ref="C89:D89"/>
    <mergeCell ref="C77:D77"/>
    <mergeCell ref="C133:D133"/>
    <mergeCell ref="C134:D134"/>
    <mergeCell ref="C139:D139"/>
    <mergeCell ref="C156:D156"/>
    <mergeCell ref="C157:D157"/>
    <mergeCell ref="C158:D158"/>
    <mergeCell ref="C159:D159"/>
    <mergeCell ref="C160:D160"/>
    <mergeCell ref="C90:D90"/>
    <mergeCell ref="C91:D91"/>
    <mergeCell ref="C92:D92"/>
    <mergeCell ref="C96:D96"/>
    <mergeCell ref="C108:D108"/>
    <mergeCell ref="C109:D109"/>
    <mergeCell ref="C110:D110"/>
    <mergeCell ref="C111:D111"/>
    <mergeCell ref="C115:D115"/>
    <mergeCell ref="A161:G161"/>
    <mergeCell ref="A162:G162"/>
    <mergeCell ref="A163:G163"/>
    <mergeCell ref="A164:I164"/>
    <mergeCell ref="A3:A46"/>
    <mergeCell ref="A47:A92"/>
    <mergeCell ref="A93:A111"/>
    <mergeCell ref="A112:A134"/>
    <mergeCell ref="A135:A158"/>
    <mergeCell ref="A159:A160"/>
    <mergeCell ref="B3:B5"/>
    <mergeCell ref="B7:B9"/>
    <mergeCell ref="B10:B11"/>
    <mergeCell ref="B12:B17"/>
    <mergeCell ref="B18:B22"/>
    <mergeCell ref="B23:B25"/>
    <mergeCell ref="B26:B27"/>
    <mergeCell ref="B32:B35"/>
    <mergeCell ref="B43:B44"/>
    <mergeCell ref="B45:B46"/>
    <mergeCell ref="B47:B49"/>
    <mergeCell ref="B51:B53"/>
    <mergeCell ref="C132:D132"/>
    <mergeCell ref="B119:B120"/>
    <mergeCell ref="B121:B125"/>
    <mergeCell ref="B54:B55"/>
    <mergeCell ref="B56:B61"/>
    <mergeCell ref="B62:B66"/>
    <mergeCell ref="B69:B71"/>
    <mergeCell ref="B72:B73"/>
    <mergeCell ref="B78:B81"/>
    <mergeCell ref="B89:B90"/>
    <mergeCell ref="B82:B85"/>
    <mergeCell ref="B75:B77"/>
    <mergeCell ref="B126:B128"/>
    <mergeCell ref="B129:B131"/>
    <mergeCell ref="B135:B138"/>
    <mergeCell ref="B140:B142"/>
    <mergeCell ref="B143:B144"/>
    <mergeCell ref="B145:B149"/>
    <mergeCell ref="B150:B152"/>
    <mergeCell ref="B153:B155"/>
    <mergeCell ref="C12:C13"/>
    <mergeCell ref="C56:C57"/>
    <mergeCell ref="C102:C103"/>
    <mergeCell ref="C121:C122"/>
    <mergeCell ref="C126:C127"/>
    <mergeCell ref="C129:C130"/>
    <mergeCell ref="C145:C146"/>
    <mergeCell ref="C150:C151"/>
    <mergeCell ref="C153:C154"/>
    <mergeCell ref="B91:B92"/>
    <mergeCell ref="B93:B95"/>
    <mergeCell ref="B97:B99"/>
    <mergeCell ref="B100:B101"/>
    <mergeCell ref="B102:B107"/>
    <mergeCell ref="B112:B114"/>
    <mergeCell ref="B116:B118"/>
    <mergeCell ref="E47:E49"/>
    <mergeCell ref="E51:E53"/>
    <mergeCell ref="E93:E95"/>
    <mergeCell ref="E97:E99"/>
    <mergeCell ref="E112:E114"/>
    <mergeCell ref="E116:E118"/>
    <mergeCell ref="E135:E138"/>
    <mergeCell ref="E140:E142"/>
    <mergeCell ref="F3:F5"/>
    <mergeCell ref="F7:F9"/>
    <mergeCell ref="F47:F49"/>
    <mergeCell ref="F51:F53"/>
    <mergeCell ref="F93:F95"/>
    <mergeCell ref="F97:F99"/>
    <mergeCell ref="F112:F114"/>
    <mergeCell ref="F116:F118"/>
    <mergeCell ref="F135:F138"/>
    <mergeCell ref="F140:F142"/>
    <mergeCell ref="G47:G49"/>
    <mergeCell ref="G51:G53"/>
    <mergeCell ref="G93:G95"/>
    <mergeCell ref="G97:G99"/>
    <mergeCell ref="G112:G114"/>
    <mergeCell ref="G116:G118"/>
    <mergeCell ref="G135:G138"/>
    <mergeCell ref="G140:G142"/>
    <mergeCell ref="H3:H5"/>
    <mergeCell ref="H7:H9"/>
    <mergeCell ref="H47:H49"/>
    <mergeCell ref="H51:H53"/>
    <mergeCell ref="H93:H95"/>
    <mergeCell ref="H97:H99"/>
    <mergeCell ref="H112:H114"/>
    <mergeCell ref="H116:H118"/>
    <mergeCell ref="H135:H138"/>
    <mergeCell ref="H140:H142"/>
    <mergeCell ref="I140:I142"/>
    <mergeCell ref="I150:I152"/>
    <mergeCell ref="I153:I155"/>
    <mergeCell ref="J14:J22"/>
    <mergeCell ref="M14:M22"/>
    <mergeCell ref="M45:M46"/>
    <mergeCell ref="M91:M92"/>
    <mergeCell ref="I47:I49"/>
    <mergeCell ref="I51:I53"/>
    <mergeCell ref="I93:I95"/>
    <mergeCell ref="I97:I99"/>
    <mergeCell ref="I112:I114"/>
    <mergeCell ref="I116:I118"/>
    <mergeCell ref="I126:I128"/>
    <mergeCell ref="I129:I131"/>
    <mergeCell ref="I135:I138"/>
  </mergeCells>
  <phoneticPr fontId="5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="80" zoomScaleNormal="80" workbookViewId="0">
      <selection activeCell="G14" sqref="G14"/>
    </sheetView>
  </sheetViews>
  <sheetFormatPr defaultColWidth="8.90625" defaultRowHeight="15" customHeight="1" x14ac:dyDescent="0.25"/>
  <cols>
    <col min="1" max="1" width="18.90625" style="2" customWidth="1"/>
    <col min="2" max="2" width="33.6328125" style="3" customWidth="1"/>
    <col min="3" max="3" width="12.08984375" style="2" customWidth="1"/>
    <col min="4" max="4" width="15.453125" style="2" customWidth="1"/>
    <col min="5" max="5" width="18.453125" style="2" customWidth="1"/>
    <col min="6" max="6" width="16.08984375" style="3" customWidth="1"/>
    <col min="7" max="7" width="42.1796875" style="4" customWidth="1"/>
    <col min="8" max="8" width="44.453125" style="3" customWidth="1"/>
    <col min="9" max="9" width="41.08984375" style="2" customWidth="1"/>
    <col min="10" max="10" width="21.1796875" style="2" customWidth="1"/>
    <col min="11" max="16384" width="8.90625" style="2"/>
  </cols>
  <sheetData>
    <row r="1" spans="1:10" ht="29.15" customHeight="1" x14ac:dyDescent="0.25">
      <c r="A1" s="292" t="s">
        <v>25</v>
      </c>
      <c r="B1" s="292"/>
      <c r="C1" s="292"/>
      <c r="D1" s="292"/>
      <c r="E1" s="292"/>
      <c r="F1" s="292"/>
      <c r="G1" s="292"/>
    </row>
    <row r="2" spans="1:10" ht="41.15" customHeight="1" x14ac:dyDescent="0.25">
      <c r="A2" s="292" t="s">
        <v>26</v>
      </c>
      <c r="B2" s="292"/>
      <c r="C2" s="6" t="s">
        <v>27</v>
      </c>
      <c r="D2" s="6" t="s">
        <v>28</v>
      </c>
      <c r="E2" s="6" t="s">
        <v>29</v>
      </c>
      <c r="F2" s="7" t="s">
        <v>30</v>
      </c>
      <c r="G2" s="8" t="s">
        <v>31</v>
      </c>
      <c r="I2" s="32"/>
      <c r="J2" s="33"/>
    </row>
    <row r="3" spans="1:10" ht="25.5" customHeight="1" x14ac:dyDescent="0.25">
      <c r="A3" s="291" t="s">
        <v>32</v>
      </c>
      <c r="B3" s="9" t="s">
        <v>33</v>
      </c>
      <c r="C3" s="10" t="s">
        <v>34</v>
      </c>
      <c r="D3" s="11" t="s">
        <v>35</v>
      </c>
      <c r="E3" s="12"/>
      <c r="F3" s="13">
        <f t="shared" ref="F3:F16" si="0">D3*E3</f>
        <v>0</v>
      </c>
      <c r="G3" s="14" t="s">
        <v>36</v>
      </c>
      <c r="H3" s="34"/>
      <c r="I3" s="32"/>
    </row>
    <row r="4" spans="1:10" ht="25.5" customHeight="1" x14ac:dyDescent="0.25">
      <c r="A4" s="291"/>
      <c r="B4" s="9" t="s">
        <v>37</v>
      </c>
      <c r="C4" s="10" t="s">
        <v>34</v>
      </c>
      <c r="D4" s="11" t="s">
        <v>38</v>
      </c>
      <c r="E4" s="12"/>
      <c r="F4" s="13">
        <f t="shared" si="0"/>
        <v>0</v>
      </c>
      <c r="G4" s="14" t="s">
        <v>36</v>
      </c>
      <c r="I4" s="32"/>
    </row>
    <row r="5" spans="1:10" ht="25.5" customHeight="1" x14ac:dyDescent="0.25">
      <c r="A5" s="291"/>
      <c r="B5" s="9" t="s">
        <v>39</v>
      </c>
      <c r="C5" s="10" t="s">
        <v>34</v>
      </c>
      <c r="D5" s="11" t="s">
        <v>35</v>
      </c>
      <c r="E5" s="12"/>
      <c r="F5" s="13">
        <f t="shared" si="0"/>
        <v>0</v>
      </c>
      <c r="G5" s="14" t="s">
        <v>36</v>
      </c>
      <c r="I5" s="32"/>
    </row>
    <row r="6" spans="1:10" ht="30.9" customHeight="1" x14ac:dyDescent="0.25">
      <c r="A6" s="291" t="s">
        <v>40</v>
      </c>
      <c r="B6" s="302" t="s">
        <v>394</v>
      </c>
      <c r="C6" s="10" t="s">
        <v>34</v>
      </c>
      <c r="D6" s="11" t="s">
        <v>41</v>
      </c>
      <c r="E6" s="12"/>
      <c r="F6" s="13">
        <f t="shared" si="0"/>
        <v>0</v>
      </c>
      <c r="G6" s="19"/>
      <c r="H6" s="81"/>
      <c r="I6" s="32"/>
    </row>
    <row r="7" spans="1:10" ht="30.9" customHeight="1" x14ac:dyDescent="0.25">
      <c r="A7" s="291"/>
      <c r="B7" s="302" t="s">
        <v>395</v>
      </c>
      <c r="C7" s="10" t="s">
        <v>34</v>
      </c>
      <c r="D7" s="35">
        <v>1</v>
      </c>
      <c r="E7" s="12"/>
      <c r="F7" s="13">
        <f t="shared" si="0"/>
        <v>0</v>
      </c>
      <c r="G7" s="19"/>
      <c r="H7" s="81"/>
      <c r="I7" s="32"/>
    </row>
    <row r="8" spans="1:10" ht="25.5" customHeight="1" x14ac:dyDescent="0.25">
      <c r="A8" s="291"/>
      <c r="B8" s="18" t="s">
        <v>42</v>
      </c>
      <c r="C8" s="10" t="s">
        <v>34</v>
      </c>
      <c r="D8" s="11" t="s">
        <v>35</v>
      </c>
      <c r="E8" s="12"/>
      <c r="F8" s="13">
        <f t="shared" si="0"/>
        <v>0</v>
      </c>
      <c r="G8" s="19"/>
      <c r="I8" s="32"/>
    </row>
    <row r="9" spans="1:10" ht="25.5" customHeight="1" x14ac:dyDescent="0.25">
      <c r="A9" s="291"/>
      <c r="B9" s="18" t="s">
        <v>43</v>
      </c>
      <c r="C9" s="10" t="s">
        <v>34</v>
      </c>
      <c r="D9" s="35">
        <v>1</v>
      </c>
      <c r="E9" s="12"/>
      <c r="F9" s="80" t="s">
        <v>387</v>
      </c>
      <c r="G9" s="78" t="s">
        <v>381</v>
      </c>
      <c r="I9" s="32"/>
    </row>
    <row r="10" spans="1:10" ht="25.5" customHeight="1" x14ac:dyDescent="0.25">
      <c r="A10" s="291"/>
      <c r="B10" s="20" t="s">
        <v>44</v>
      </c>
      <c r="C10" s="10" t="s">
        <v>34</v>
      </c>
      <c r="D10" s="11" t="s">
        <v>35</v>
      </c>
      <c r="E10" s="12"/>
      <c r="F10" s="13">
        <f t="shared" si="0"/>
        <v>0</v>
      </c>
      <c r="G10" s="19"/>
      <c r="I10" s="32"/>
    </row>
    <row r="11" spans="1:10" ht="25.5" customHeight="1" x14ac:dyDescent="0.25">
      <c r="A11" s="291"/>
      <c r="B11" s="18" t="s">
        <v>45</v>
      </c>
      <c r="C11" s="10" t="s">
        <v>34</v>
      </c>
      <c r="D11" s="11" t="s">
        <v>35</v>
      </c>
      <c r="E11" s="12"/>
      <c r="F11" s="13">
        <f t="shared" si="0"/>
        <v>0</v>
      </c>
      <c r="G11" s="19"/>
      <c r="I11" s="32"/>
    </row>
    <row r="12" spans="1:10" ht="25.5" customHeight="1" x14ac:dyDescent="0.25">
      <c r="A12" s="291"/>
      <c r="B12" s="21" t="s">
        <v>46</v>
      </c>
      <c r="C12" s="10" t="s">
        <v>34</v>
      </c>
      <c r="D12" s="11" t="s">
        <v>47</v>
      </c>
      <c r="E12" s="12"/>
      <c r="F12" s="13">
        <f t="shared" si="0"/>
        <v>0</v>
      </c>
      <c r="G12" s="19" t="s">
        <v>48</v>
      </c>
      <c r="H12" s="34"/>
      <c r="I12" s="32"/>
    </row>
    <row r="13" spans="1:10" ht="25.5" customHeight="1" x14ac:dyDescent="0.25">
      <c r="A13" s="291"/>
      <c r="B13" s="18" t="s">
        <v>49</v>
      </c>
      <c r="C13" s="10" t="s">
        <v>34</v>
      </c>
      <c r="D13" s="11" t="s">
        <v>50</v>
      </c>
      <c r="E13" s="12"/>
      <c r="F13" s="13">
        <f t="shared" si="0"/>
        <v>0</v>
      </c>
      <c r="G13" s="19"/>
      <c r="I13" s="32"/>
    </row>
    <row r="14" spans="1:10" ht="25.5" customHeight="1" x14ac:dyDescent="0.25">
      <c r="A14" s="291"/>
      <c r="B14" s="18" t="s">
        <v>51</v>
      </c>
      <c r="C14" s="10" t="s">
        <v>34</v>
      </c>
      <c r="D14" s="11" t="s">
        <v>41</v>
      </c>
      <c r="E14" s="12"/>
      <c r="F14" s="13">
        <f t="shared" si="0"/>
        <v>0</v>
      </c>
      <c r="G14" s="22"/>
      <c r="I14" s="32"/>
    </row>
    <row r="15" spans="1:10" ht="25.5" customHeight="1" x14ac:dyDescent="0.25">
      <c r="A15" s="291"/>
      <c r="B15" s="18" t="s">
        <v>52</v>
      </c>
      <c r="C15" s="10" t="s">
        <v>34</v>
      </c>
      <c r="D15" s="36" t="s">
        <v>41</v>
      </c>
      <c r="E15" s="12"/>
      <c r="F15" s="13">
        <f t="shared" si="0"/>
        <v>0</v>
      </c>
      <c r="G15" s="19"/>
      <c r="I15" s="32"/>
    </row>
    <row r="16" spans="1:10" ht="25.5" customHeight="1" x14ac:dyDescent="0.25">
      <c r="A16" s="291"/>
      <c r="B16" s="21" t="s">
        <v>53</v>
      </c>
      <c r="C16" s="10" t="s">
        <v>34</v>
      </c>
      <c r="D16" s="36" t="s">
        <v>41</v>
      </c>
      <c r="E16" s="12"/>
      <c r="F16" s="13">
        <f t="shared" si="0"/>
        <v>0</v>
      </c>
      <c r="G16" s="19"/>
      <c r="I16" s="32"/>
    </row>
    <row r="17" spans="1:9" s="1" customFormat="1" ht="24.9" customHeight="1" x14ac:dyDescent="0.25">
      <c r="A17" s="293" t="s">
        <v>14</v>
      </c>
      <c r="B17" s="294"/>
      <c r="C17" s="294"/>
      <c r="D17" s="294"/>
      <c r="E17" s="295"/>
      <c r="F17" s="27">
        <f>SUM(F3:F16)</f>
        <v>0</v>
      </c>
      <c r="G17" s="28"/>
      <c r="H17" s="37"/>
      <c r="I17" s="32"/>
    </row>
    <row r="18" spans="1:9" s="1" customFormat="1" ht="24.9" customHeight="1" x14ac:dyDescent="0.25">
      <c r="A18" s="296" t="s">
        <v>15</v>
      </c>
      <c r="B18" s="297"/>
      <c r="C18" s="297"/>
      <c r="D18" s="297"/>
      <c r="E18" s="298"/>
      <c r="F18" s="30">
        <f>F17*1.06</f>
        <v>0</v>
      </c>
      <c r="G18" s="31"/>
      <c r="H18" s="37"/>
      <c r="I18" s="32"/>
    </row>
    <row r="19" spans="1:9" s="1" customFormat="1" ht="24.9" customHeight="1" x14ac:dyDescent="0.25">
      <c r="A19" s="296" t="s">
        <v>16</v>
      </c>
      <c r="B19" s="297"/>
      <c r="C19" s="297"/>
      <c r="D19" s="297"/>
      <c r="E19" s="298"/>
      <c r="F19" s="30">
        <f>F18-F17</f>
        <v>0</v>
      </c>
      <c r="G19" s="31"/>
      <c r="H19" s="37"/>
      <c r="I19" s="32"/>
    </row>
    <row r="20" spans="1:9" s="1" customFormat="1" ht="57.65" customHeight="1" x14ac:dyDescent="0.25">
      <c r="A20" s="288" t="s">
        <v>54</v>
      </c>
      <c r="B20" s="289"/>
      <c r="C20" s="289"/>
      <c r="D20" s="289"/>
      <c r="E20" s="289"/>
      <c r="F20" s="289"/>
      <c r="G20" s="290"/>
      <c r="H20" s="37"/>
      <c r="I20" s="32"/>
    </row>
    <row r="21" spans="1:9" ht="15" customHeight="1" x14ac:dyDescent="0.25">
      <c r="I21" s="32"/>
    </row>
    <row r="22" spans="1:9" ht="15" customHeight="1" x14ac:dyDescent="0.25">
      <c r="I22" s="32"/>
    </row>
  </sheetData>
  <mergeCells count="8">
    <mergeCell ref="A20:G20"/>
    <mergeCell ref="A3:A5"/>
    <mergeCell ref="A6:A16"/>
    <mergeCell ref="A1:G1"/>
    <mergeCell ref="A2:B2"/>
    <mergeCell ref="A17:E17"/>
    <mergeCell ref="A18:E18"/>
    <mergeCell ref="A19:E19"/>
  </mergeCells>
  <phoneticPr fontId="54" type="noConversion"/>
  <pageMargins left="0.75" right="0.75" top="1" bottom="1" header="0.5" footer="0.5"/>
  <pageSetup paperSize="9" orientation="portrait"/>
  <ignoredErrors>
    <ignoredError sqref="D3:D9 D10:D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="80" zoomScaleNormal="80" workbookViewId="0">
      <selection activeCell="B17" sqref="B17"/>
    </sheetView>
  </sheetViews>
  <sheetFormatPr defaultColWidth="8.90625" defaultRowHeight="14" x14ac:dyDescent="0.25"/>
  <cols>
    <col min="1" max="1" width="18.90625" style="2" customWidth="1"/>
    <col min="2" max="2" width="33.6328125" style="3" customWidth="1"/>
    <col min="3" max="3" width="12.08984375" style="2" customWidth="1"/>
    <col min="4" max="4" width="15.453125" style="2" customWidth="1"/>
    <col min="5" max="5" width="18.453125" style="2" customWidth="1"/>
    <col min="6" max="6" width="16.08984375" style="3" customWidth="1"/>
    <col min="7" max="7" width="42.1796875" style="4" customWidth="1"/>
    <col min="8" max="8" width="14.08984375" style="5" customWidth="1"/>
    <col min="9" max="16384" width="8.90625" style="2"/>
  </cols>
  <sheetData>
    <row r="1" spans="1:8" ht="29.15" customHeight="1" x14ac:dyDescent="0.25">
      <c r="A1" s="292" t="s">
        <v>55</v>
      </c>
      <c r="B1" s="292"/>
      <c r="C1" s="292"/>
      <c r="D1" s="292"/>
      <c r="E1" s="292"/>
      <c r="F1" s="292"/>
      <c r="G1" s="292"/>
    </row>
    <row r="2" spans="1:8" ht="41.15" customHeight="1" x14ac:dyDescent="0.25">
      <c r="A2" s="292" t="s">
        <v>26</v>
      </c>
      <c r="B2" s="292"/>
      <c r="C2" s="6" t="s">
        <v>27</v>
      </c>
      <c r="D2" s="6" t="s">
        <v>28</v>
      </c>
      <c r="E2" s="6" t="s">
        <v>29</v>
      </c>
      <c r="F2" s="7" t="s">
        <v>30</v>
      </c>
      <c r="G2" s="8" t="s">
        <v>31</v>
      </c>
    </row>
    <row r="3" spans="1:8" ht="24" customHeight="1" x14ac:dyDescent="0.25">
      <c r="A3" s="299" t="s">
        <v>56</v>
      </c>
      <c r="B3" s="9" t="s">
        <v>33</v>
      </c>
      <c r="C3" s="10" t="s">
        <v>34</v>
      </c>
      <c r="D3" s="11" t="s">
        <v>35</v>
      </c>
      <c r="E3" s="12"/>
      <c r="F3" s="13">
        <f>D3*E3</f>
        <v>0</v>
      </c>
      <c r="G3" s="14" t="s">
        <v>36</v>
      </c>
      <c r="H3" s="15"/>
    </row>
    <row r="4" spans="1:8" ht="29.15" customHeight="1" x14ac:dyDescent="0.25">
      <c r="A4" s="300"/>
      <c r="B4" s="9" t="s">
        <v>37</v>
      </c>
      <c r="C4" s="10" t="s">
        <v>34</v>
      </c>
      <c r="D4" s="16">
        <v>8</v>
      </c>
      <c r="E4" s="17"/>
      <c r="F4" s="13">
        <f t="shared" ref="F4:F16" si="0">D4*E4</f>
        <v>0</v>
      </c>
      <c r="G4" s="14" t="s">
        <v>36</v>
      </c>
    </row>
    <row r="5" spans="1:8" ht="29.15" customHeight="1" x14ac:dyDescent="0.25">
      <c r="A5" s="301"/>
      <c r="B5" s="9" t="s">
        <v>39</v>
      </c>
      <c r="C5" s="10" t="s">
        <v>34</v>
      </c>
      <c r="D5" s="16" t="s">
        <v>35</v>
      </c>
      <c r="E5" s="17"/>
      <c r="F5" s="13">
        <f t="shared" si="0"/>
        <v>0</v>
      </c>
      <c r="G5" s="14" t="s">
        <v>36</v>
      </c>
    </row>
    <row r="6" spans="1:8" ht="29.15" customHeight="1" x14ac:dyDescent="0.25">
      <c r="A6" s="291" t="s">
        <v>40</v>
      </c>
      <c r="B6" s="302" t="s">
        <v>394</v>
      </c>
      <c r="C6" s="10" t="s">
        <v>34</v>
      </c>
      <c r="D6" s="16" t="s">
        <v>41</v>
      </c>
      <c r="E6" s="17"/>
      <c r="F6" s="13">
        <f t="shared" si="0"/>
        <v>0</v>
      </c>
      <c r="G6" s="19"/>
    </row>
    <row r="7" spans="1:8" ht="29.15" customHeight="1" x14ac:dyDescent="0.25">
      <c r="A7" s="291"/>
      <c r="B7" s="302" t="s">
        <v>395</v>
      </c>
      <c r="C7" s="10" t="s">
        <v>34</v>
      </c>
      <c r="D7" s="16">
        <v>1</v>
      </c>
      <c r="E7" s="17"/>
      <c r="F7" s="13">
        <f t="shared" si="0"/>
        <v>0</v>
      </c>
      <c r="G7" s="19"/>
    </row>
    <row r="8" spans="1:8" ht="26.4" customHeight="1" x14ac:dyDescent="0.25">
      <c r="A8" s="291"/>
      <c r="B8" s="18" t="s">
        <v>42</v>
      </c>
      <c r="C8" s="10" t="s">
        <v>34</v>
      </c>
      <c r="D8" s="16" t="s">
        <v>35</v>
      </c>
      <c r="E8" s="17"/>
      <c r="F8" s="13">
        <f t="shared" si="0"/>
        <v>0</v>
      </c>
      <c r="G8" s="19"/>
    </row>
    <row r="9" spans="1:8" ht="20.149999999999999" customHeight="1" x14ac:dyDescent="0.25">
      <c r="A9" s="291"/>
      <c r="B9" s="18" t="s">
        <v>43</v>
      </c>
      <c r="C9" s="10" t="s">
        <v>34</v>
      </c>
      <c r="D9" s="16">
        <v>1</v>
      </c>
      <c r="E9" s="17"/>
      <c r="F9" s="80" t="s">
        <v>387</v>
      </c>
      <c r="G9" s="78" t="s">
        <v>381</v>
      </c>
    </row>
    <row r="10" spans="1:8" ht="20.149999999999999" customHeight="1" x14ac:dyDescent="0.25">
      <c r="A10" s="291"/>
      <c r="B10" s="20" t="s">
        <v>44</v>
      </c>
      <c r="C10" s="10" t="s">
        <v>34</v>
      </c>
      <c r="D10" s="16" t="s">
        <v>35</v>
      </c>
      <c r="E10" s="17"/>
      <c r="F10" s="13">
        <f t="shared" si="0"/>
        <v>0</v>
      </c>
      <c r="G10" s="19"/>
    </row>
    <row r="11" spans="1:8" ht="20.149999999999999" customHeight="1" x14ac:dyDescent="0.25">
      <c r="A11" s="291"/>
      <c r="B11" s="18" t="s">
        <v>45</v>
      </c>
      <c r="C11" s="10" t="s">
        <v>34</v>
      </c>
      <c r="D11" s="16" t="s">
        <v>35</v>
      </c>
      <c r="E11" s="17"/>
      <c r="F11" s="13">
        <f t="shared" si="0"/>
        <v>0</v>
      </c>
      <c r="G11" s="19"/>
    </row>
    <row r="12" spans="1:8" ht="20.149999999999999" customHeight="1" x14ac:dyDescent="0.25">
      <c r="A12" s="291"/>
      <c r="B12" s="21" t="s">
        <v>46</v>
      </c>
      <c r="C12" s="10" t="s">
        <v>34</v>
      </c>
      <c r="D12" s="16" t="s">
        <v>47</v>
      </c>
      <c r="E12" s="17"/>
      <c r="F12" s="13">
        <f t="shared" si="0"/>
        <v>0</v>
      </c>
      <c r="G12" s="19" t="s">
        <v>48</v>
      </c>
      <c r="H12" s="15"/>
    </row>
    <row r="13" spans="1:8" ht="20.149999999999999" customHeight="1" x14ac:dyDescent="0.25">
      <c r="A13" s="291"/>
      <c r="B13" s="18" t="s">
        <v>49</v>
      </c>
      <c r="C13" s="10" t="s">
        <v>34</v>
      </c>
      <c r="D13" s="16" t="s">
        <v>50</v>
      </c>
      <c r="E13" s="17"/>
      <c r="F13" s="13">
        <f t="shared" si="0"/>
        <v>0</v>
      </c>
      <c r="G13" s="19"/>
    </row>
    <row r="14" spans="1:8" ht="20.149999999999999" customHeight="1" x14ac:dyDescent="0.25">
      <c r="A14" s="291"/>
      <c r="B14" s="18" t="s">
        <v>51</v>
      </c>
      <c r="C14" s="10" t="s">
        <v>34</v>
      </c>
      <c r="D14" s="16" t="s">
        <v>41</v>
      </c>
      <c r="E14" s="17"/>
      <c r="F14" s="13">
        <f t="shared" si="0"/>
        <v>0</v>
      </c>
      <c r="G14" s="22"/>
    </row>
    <row r="15" spans="1:8" ht="20.149999999999999" customHeight="1" x14ac:dyDescent="0.25">
      <c r="A15" s="291"/>
      <c r="B15" s="18" t="s">
        <v>52</v>
      </c>
      <c r="C15" s="10" t="s">
        <v>34</v>
      </c>
      <c r="D15" s="23" t="s">
        <v>41</v>
      </c>
      <c r="E15" s="17"/>
      <c r="F15" s="13">
        <f t="shared" si="0"/>
        <v>0</v>
      </c>
      <c r="G15" s="19"/>
    </row>
    <row r="16" spans="1:8" ht="20.149999999999999" customHeight="1" x14ac:dyDescent="0.25">
      <c r="A16" s="291"/>
      <c r="B16" s="21" t="s">
        <v>53</v>
      </c>
      <c r="C16" s="10" t="s">
        <v>34</v>
      </c>
      <c r="D16" s="23" t="s">
        <v>41</v>
      </c>
      <c r="E16" s="17"/>
      <c r="F16" s="13">
        <f t="shared" si="0"/>
        <v>0</v>
      </c>
      <c r="G16" s="19"/>
    </row>
    <row r="17" spans="1:8" ht="24.65" customHeight="1" x14ac:dyDescent="0.25">
      <c r="A17" s="24" t="s">
        <v>57</v>
      </c>
      <c r="B17" s="25" t="s">
        <v>58</v>
      </c>
      <c r="C17" s="24" t="s">
        <v>59</v>
      </c>
      <c r="D17" s="26" t="s">
        <v>41</v>
      </c>
      <c r="E17" s="17"/>
      <c r="F17" s="80" t="s">
        <v>385</v>
      </c>
      <c r="G17" s="77" t="s">
        <v>381</v>
      </c>
    </row>
    <row r="18" spans="1:8" s="1" customFormat="1" ht="24.9" customHeight="1" x14ac:dyDescent="0.25">
      <c r="A18" s="293" t="s">
        <v>14</v>
      </c>
      <c r="B18" s="294"/>
      <c r="C18" s="294"/>
      <c r="D18" s="294"/>
      <c r="E18" s="295"/>
      <c r="F18" s="27">
        <f>SUM(F3:F16)</f>
        <v>0</v>
      </c>
      <c r="G18" s="28"/>
      <c r="H18" s="29"/>
    </row>
    <row r="19" spans="1:8" s="1" customFormat="1" ht="24.9" customHeight="1" x14ac:dyDescent="0.25">
      <c r="A19" s="296" t="s">
        <v>15</v>
      </c>
      <c r="B19" s="297"/>
      <c r="C19" s="297"/>
      <c r="D19" s="297"/>
      <c r="E19" s="298"/>
      <c r="F19" s="30">
        <f>F18*1.06</f>
        <v>0</v>
      </c>
      <c r="G19" s="31"/>
      <c r="H19" s="29"/>
    </row>
    <row r="20" spans="1:8" s="1" customFormat="1" ht="24.9" customHeight="1" x14ac:dyDescent="0.25">
      <c r="A20" s="296" t="s">
        <v>16</v>
      </c>
      <c r="B20" s="297"/>
      <c r="C20" s="297"/>
      <c r="D20" s="297"/>
      <c r="E20" s="298"/>
      <c r="F20" s="30">
        <f>F19-F18</f>
        <v>0</v>
      </c>
      <c r="G20" s="31"/>
      <c r="H20" s="29"/>
    </row>
    <row r="21" spans="1:8" s="1" customFormat="1" ht="57.65" customHeight="1" x14ac:dyDescent="0.25">
      <c r="A21" s="288" t="s">
        <v>54</v>
      </c>
      <c r="B21" s="289"/>
      <c r="C21" s="289"/>
      <c r="D21" s="289"/>
      <c r="E21" s="289"/>
      <c r="F21" s="289"/>
      <c r="G21" s="290"/>
      <c r="H21" s="29"/>
    </row>
    <row r="22" spans="1:8" ht="15" customHeight="1" x14ac:dyDescent="0.25"/>
    <row r="23" spans="1:8" ht="15" customHeight="1" x14ac:dyDescent="0.25"/>
    <row r="24" spans="1:8" ht="15" customHeight="1" x14ac:dyDescent="0.25"/>
    <row r="25" spans="1:8" ht="15" customHeight="1" x14ac:dyDescent="0.25"/>
    <row r="26" spans="1:8" ht="15" customHeight="1" x14ac:dyDescent="0.25"/>
    <row r="27" spans="1:8" ht="15" customHeight="1" x14ac:dyDescent="0.25"/>
    <row r="28" spans="1:8" ht="15" customHeight="1" x14ac:dyDescent="0.25"/>
  </sheetData>
  <mergeCells count="8">
    <mergeCell ref="A21:G21"/>
    <mergeCell ref="A3:A5"/>
    <mergeCell ref="A6:A16"/>
    <mergeCell ref="A1:G1"/>
    <mergeCell ref="A2:B2"/>
    <mergeCell ref="A18:E18"/>
    <mergeCell ref="A19:E19"/>
    <mergeCell ref="A20:E20"/>
  </mergeCells>
  <phoneticPr fontId="54" type="noConversion"/>
  <pageMargins left="0.75" right="0.75" top="1" bottom="1" header="0.5" footer="0.5"/>
  <pageSetup paperSize="9" orientation="portrait"/>
  <ignoredErrors>
    <ignoredError sqref="F19:F20" evalError="1"/>
    <ignoredError sqref="D3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试验总价</vt:lpstr>
      <vt:lpstr>分析方法学</vt:lpstr>
      <vt:lpstr>GLP毒理报价单</vt:lpstr>
      <vt:lpstr>中文试验报告</vt:lpstr>
      <vt:lpstr>英文试验报告+SEND数据包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陈润</dc:creator>
  <cp:lastModifiedBy>Windows 用户</cp:lastModifiedBy>
  <dcterms:created xsi:type="dcterms:W3CDTF">2023-11-16T05:44:00Z</dcterms:created>
  <dcterms:modified xsi:type="dcterms:W3CDTF">2026-03-06T02:52:47Z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92933CAD9D264EB79FBB5D74FEE23C8A_13</vt:lpwstr>
  </property>
  <property fmtid="{D5CDD505-2E9C-101B-9397-08002B2CF9AE}" pid="3" name="KSOProductBuildVer">
    <vt:lpwstr>2052-12.1.0.21541</vt:lpwstr>
  </property>
</Properties>
</file>